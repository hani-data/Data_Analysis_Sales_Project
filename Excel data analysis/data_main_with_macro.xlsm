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H:\Data science1\اکسل کاربردی - دوره خریداری شده مکتب خونه\Studying  Exel\"/>
    </mc:Choice>
  </mc:AlternateContent>
  <xr:revisionPtr revIDLastSave="0" documentId="13_ncr:1_{B30B32EC-305B-4551-9ECE-63DD1F7FC169}" xr6:coauthVersionLast="47" xr6:coauthVersionMax="47" xr10:uidLastSave="{00000000-0000-0000-0000-000000000000}"/>
  <bookViews>
    <workbookView xWindow="-120" yWindow="-120" windowWidth="20730" windowHeight="11160" xr2:uid="{00000000-000D-0000-FFFF-FFFF00000000}"/>
  </bookViews>
  <sheets>
    <sheet name="Data main" sheetId="1" r:id="rId1"/>
    <sheet name="Sales_Dashboard" sheetId="9" r:id="rId2"/>
    <sheet name="Sales_data" sheetId="2" r:id="rId3"/>
    <sheet name="Readme" sheetId="3" r:id="rId4"/>
  </sheets>
  <functionGroups builtInGroupCount="19"/>
  <definedNames>
    <definedName name="Slicer_ماه_فروش">#N/A</definedName>
    <definedName name="Slicer_نام_کالا">#N/A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2" i="2" l="1"/>
  <c r="H18" i="2"/>
  <c r="F18" i="2"/>
  <c r="E11" i="1"/>
  <c r="H3" i="2" l="1"/>
  <c r="H4" i="2"/>
  <c r="H5" i="2"/>
  <c r="H6" i="2"/>
  <c r="H7" i="2"/>
  <c r="H8" i="2"/>
  <c r="H9" i="2"/>
  <c r="H10" i="2"/>
  <c r="H11" i="2"/>
  <c r="H12" i="2"/>
  <c r="H13" i="2"/>
  <c r="H14" i="2"/>
  <c r="H15" i="2"/>
  <c r="H16" i="2"/>
  <c r="H17" i="2"/>
  <c r="H19" i="2"/>
  <c r="H20" i="2"/>
  <c r="H21" i="2"/>
  <c r="H22" i="2"/>
  <c r="H23" i="2"/>
  <c r="H24" i="2"/>
  <c r="H25" i="2"/>
  <c r="H26" i="2"/>
  <c r="H27" i="2"/>
  <c r="H28" i="2"/>
  <c r="H29" i="2"/>
  <c r="H30" i="2"/>
  <c r="H31" i="2"/>
  <c r="H32" i="2"/>
  <c r="H33" i="2"/>
  <c r="H34" i="2"/>
  <c r="H35" i="2"/>
  <c r="H36" i="2"/>
  <c r="H37" i="2"/>
  <c r="H2" i="2"/>
  <c r="F2" i="2"/>
  <c r="F3" i="2"/>
  <c r="F4" i="2"/>
  <c r="F5" i="2"/>
  <c r="F6" i="2"/>
  <c r="F7" i="2"/>
  <c r="F8" i="2"/>
  <c r="F9" i="2"/>
  <c r="F10" i="2"/>
  <c r="F11" i="2"/>
  <c r="F12" i="2"/>
  <c r="F13" i="2"/>
  <c r="F14" i="2"/>
  <c r="F15" i="2"/>
  <c r="F16" i="2"/>
  <c r="F17" i="2"/>
  <c r="F19" i="2"/>
  <c r="F20" i="2"/>
  <c r="F21" i="2"/>
  <c r="F22" i="2"/>
  <c r="F23" i="2"/>
  <c r="F24" i="2"/>
  <c r="F25" i="2"/>
  <c r="F26" i="2"/>
  <c r="F27" i="2"/>
  <c r="F28" i="2"/>
  <c r="F29" i="2"/>
  <c r="F30" i="2"/>
  <c r="F31" i="2"/>
  <c r="F32" i="2"/>
  <c r="F33" i="2"/>
  <c r="F34" i="2"/>
  <c r="F35" i="2"/>
  <c r="F36" i="2"/>
  <c r="F37" i="2"/>
  <c r="D16" i="1" l="1"/>
  <c r="E3" i="1" l="1"/>
  <c r="E2" i="1"/>
  <c r="H2" i="1" s="1"/>
  <c r="E4" i="1"/>
  <c r="E5" i="1"/>
  <c r="E6" i="1"/>
  <c r="E7" i="1"/>
  <c r="E8" i="1"/>
  <c r="E9" i="1"/>
  <c r="E10" i="1"/>
  <c r="E12" i="1"/>
  <c r="K2" i="1"/>
  <c r="K3" i="1"/>
  <c r="K4" i="1"/>
  <c r="K5" i="1"/>
  <c r="K6" i="1"/>
  <c r="K7" i="1"/>
  <c r="K8" i="1"/>
  <c r="K9" i="1"/>
  <c r="K10" i="1"/>
  <c r="K11" i="1"/>
  <c r="K12" i="1"/>
  <c r="M2" i="1" l="1"/>
  <c r="N2" i="1" s="1"/>
  <c r="H7" i="1"/>
  <c r="M7" i="1" s="1"/>
  <c r="N7" i="1" s="1"/>
  <c r="G7" i="1"/>
  <c r="H5" i="1"/>
  <c r="M5" i="1" s="1"/>
  <c r="N5" i="1" s="1"/>
  <c r="G5" i="1"/>
  <c r="H9" i="1"/>
  <c r="M9" i="1" s="1"/>
  <c r="N9" i="1" s="1"/>
  <c r="G9" i="1"/>
  <c r="J9" i="2" s="1"/>
  <c r="H4" i="1"/>
  <c r="M4" i="1" s="1"/>
  <c r="N4" i="1" s="1"/>
  <c r="G4" i="1"/>
  <c r="H6" i="1"/>
  <c r="M6" i="1" s="1"/>
  <c r="N6" i="1" s="1"/>
  <c r="G6" i="1"/>
  <c r="H11" i="1"/>
  <c r="M11" i="1" s="1"/>
  <c r="N11" i="1" s="1"/>
  <c r="G11" i="1"/>
  <c r="G2" i="1"/>
  <c r="H8" i="1"/>
  <c r="M8" i="1" s="1"/>
  <c r="N8" i="1" s="1"/>
  <c r="G8" i="1"/>
  <c r="H12" i="1"/>
  <c r="M12" i="1" s="1"/>
  <c r="N12" i="1" s="1"/>
  <c r="G12" i="1"/>
  <c r="H10" i="1"/>
  <c r="M10" i="1" s="1"/>
  <c r="N10" i="1" s="1"/>
  <c r="G10" i="1"/>
  <c r="H3" i="1"/>
  <c r="M3" i="1" s="1"/>
  <c r="N3" i="1" s="1"/>
  <c r="G3" i="1"/>
  <c r="K16" i="1"/>
  <c r="J18" i="2" l="1"/>
  <c r="J3" i="2"/>
  <c r="J17" i="2"/>
  <c r="J19" i="2"/>
  <c r="J16" i="2"/>
  <c r="J34" i="2"/>
  <c r="J11" i="2"/>
  <c r="J33" i="2"/>
  <c r="J5" i="2"/>
  <c r="J22" i="2"/>
  <c r="J23" i="2"/>
  <c r="J13" i="2"/>
  <c r="J14" i="2"/>
  <c r="J15" i="2"/>
  <c r="J6" i="2"/>
  <c r="J24" i="2"/>
  <c r="J25" i="2"/>
  <c r="J26" i="2"/>
  <c r="J27" i="2"/>
  <c r="J7" i="2"/>
  <c r="J30" i="2"/>
  <c r="J31" i="2"/>
  <c r="J8" i="2"/>
  <c r="J32" i="2"/>
  <c r="K9" i="2"/>
  <c r="I9" i="2"/>
  <c r="J10" i="2"/>
  <c r="J28" i="2"/>
  <c r="J29" i="2"/>
  <c r="J12" i="2"/>
  <c r="J36" i="2"/>
  <c r="J37" i="2"/>
  <c r="J35" i="2"/>
  <c r="J4" i="2"/>
  <c r="J20" i="2"/>
  <c r="J21" i="2"/>
  <c r="H16" i="1"/>
  <c r="I31" i="2" l="1"/>
  <c r="K31" i="2"/>
  <c r="I30" i="2"/>
  <c r="K30" i="2"/>
  <c r="I14" i="2"/>
  <c r="K14" i="2"/>
  <c r="K34" i="2"/>
  <c r="I34" i="2"/>
  <c r="I11" i="2"/>
  <c r="K11" i="2"/>
  <c r="I28" i="2"/>
  <c r="K28" i="2"/>
  <c r="I7" i="2"/>
  <c r="K7" i="2"/>
  <c r="K13" i="2"/>
  <c r="I13" i="2"/>
  <c r="I16" i="2"/>
  <c r="K16" i="2"/>
  <c r="K12" i="2"/>
  <c r="I12" i="2"/>
  <c r="I21" i="2"/>
  <c r="K21" i="2"/>
  <c r="I20" i="2"/>
  <c r="K20" i="2"/>
  <c r="I10" i="2"/>
  <c r="K10" i="2"/>
  <c r="I27" i="2"/>
  <c r="K27" i="2"/>
  <c r="I2" i="2"/>
  <c r="K2" i="2"/>
  <c r="K39" i="2" s="1"/>
  <c r="K19" i="2"/>
  <c r="I19" i="2"/>
  <c r="I8" i="2"/>
  <c r="K8" i="2"/>
  <c r="I29" i="2"/>
  <c r="K29" i="2"/>
  <c r="I4" i="2"/>
  <c r="K4" i="2"/>
  <c r="K26" i="2"/>
  <c r="I26" i="2"/>
  <c r="I23" i="2"/>
  <c r="K23" i="2"/>
  <c r="K17" i="2"/>
  <c r="I17" i="2"/>
  <c r="K36" i="2"/>
  <c r="I36" i="2"/>
  <c r="I6" i="2"/>
  <c r="K6" i="2"/>
  <c r="K35" i="2"/>
  <c r="I35" i="2"/>
  <c r="I25" i="2"/>
  <c r="K25" i="2"/>
  <c r="I22" i="2"/>
  <c r="K22" i="2"/>
  <c r="I3" i="2"/>
  <c r="K3" i="2"/>
  <c r="K33" i="2"/>
  <c r="I33" i="2"/>
  <c r="I15" i="2"/>
  <c r="K15" i="2"/>
  <c r="I37" i="2"/>
  <c r="K37" i="2"/>
  <c r="I32" i="2"/>
  <c r="K32" i="2"/>
  <c r="I24" i="2"/>
  <c r="K24" i="2"/>
  <c r="K5" i="2"/>
  <c r="I5" i="2"/>
  <c r="I18" i="2"/>
  <c r="K18" i="2"/>
</calcChain>
</file>

<file path=xl/sharedStrings.xml><?xml version="1.0" encoding="utf-8"?>
<sst xmlns="http://schemas.openxmlformats.org/spreadsheetml/2006/main" count="207" uniqueCount="105">
  <si>
    <t>گپ</t>
  </si>
  <si>
    <t>زرشکی-مشکی-سبز-آبی-خردلی-توسی</t>
  </si>
  <si>
    <t>مهر</t>
  </si>
  <si>
    <t>کلاه بافت</t>
  </si>
  <si>
    <t>صورتی-ابی-زرد-کرمی</t>
  </si>
  <si>
    <t>1404/07/01</t>
  </si>
  <si>
    <t>بافت بدون آستین</t>
  </si>
  <si>
    <t>1404/07/10</t>
  </si>
  <si>
    <t>مشکی-صورتی-آبی-سبز-قهوه ای-زرشکی</t>
  </si>
  <si>
    <t>1404/04/02</t>
  </si>
  <si>
    <t>کراپ</t>
  </si>
  <si>
    <t>تیر</t>
  </si>
  <si>
    <t>مشکی-کرمی-خردلی-سبز-آبی</t>
  </si>
  <si>
    <t>لانگ</t>
  </si>
  <si>
    <t>مشکی-سبز-توسی-آبی</t>
  </si>
  <si>
    <t>مانتو مشکی</t>
  </si>
  <si>
    <t>مشکی</t>
  </si>
  <si>
    <t>بلوز زنانه</t>
  </si>
  <si>
    <t>تیشرت مشکی</t>
  </si>
  <si>
    <t>مرداد</t>
  </si>
  <si>
    <t>1404/05/02</t>
  </si>
  <si>
    <t xml:space="preserve"> بلوزآستین فرشته</t>
  </si>
  <si>
    <t>شومیز</t>
  </si>
  <si>
    <t>قرمز-توسی</t>
  </si>
  <si>
    <t>بنفش-مشکی-کرمی-توسی-سبز</t>
  </si>
  <si>
    <t>آبی-سبز-قهوه ای</t>
  </si>
  <si>
    <t>شلوار زنانه کریشه</t>
  </si>
  <si>
    <t>شهریور</t>
  </si>
  <si>
    <t>1404/06/12</t>
  </si>
  <si>
    <t xml:space="preserve">مهر1404 </t>
  </si>
  <si>
    <t>شهریور1404</t>
  </si>
  <si>
    <t>تیر 1404</t>
  </si>
  <si>
    <t>مرداد1404</t>
  </si>
  <si>
    <t>آبان1404</t>
  </si>
  <si>
    <t>آذر1404</t>
  </si>
  <si>
    <t>دی1404</t>
  </si>
  <si>
    <t>بهمن1404</t>
  </si>
  <si>
    <t>اسفند1404</t>
  </si>
  <si>
    <t>Grand Total</t>
  </si>
  <si>
    <t>🧾 نام پروژه</t>
  </si>
  <si>
    <t>📄 توضیح کلی</t>
  </si>
  <si>
    <t>📊 شیت‌ها</t>
  </si>
  <si>
    <t>هانیه گودرزی</t>
  </si>
  <si>
    <t>میانگین درصد سود کالای گپ</t>
  </si>
  <si>
    <t>Date</t>
  </si>
  <si>
    <t>Product_Name</t>
  </si>
  <si>
    <t>Quantity</t>
  </si>
  <si>
    <t>Purchase_Unit_Price</t>
  </si>
  <si>
    <t>Shipping_Unit_Cost</t>
  </si>
  <si>
    <t>Total_Shipping_Cost</t>
  </si>
  <si>
    <t>Total_Purchase_Unit_Price</t>
  </si>
  <si>
    <t>Total_Purchase_Price</t>
  </si>
  <si>
    <t>Purchase_Month</t>
  </si>
  <si>
    <t>Color</t>
  </si>
  <si>
    <t>Sales_Month</t>
  </si>
  <si>
    <t>Sum_of_Total_Sales</t>
  </si>
  <si>
    <t>Average_of_Actual_Profit</t>
  </si>
  <si>
    <t>Average_of_Profit_Percentage</t>
  </si>
  <si>
    <t>Sold_Quantity</t>
  </si>
  <si>
    <t>Total_Sales</t>
  </si>
  <si>
    <t>Monthly_Sales_Target</t>
  </si>
  <si>
    <t>Sales_Status</t>
  </si>
  <si>
    <t>Actual_Profit</t>
  </si>
  <si>
    <t>Total_Unit_Cost</t>
  </si>
  <si>
    <t>Item</t>
  </si>
  <si>
    <t>Description</t>
  </si>
  <si>
    <t>Gregorian_Date</t>
  </si>
  <si>
    <t>Column1</t>
  </si>
  <si>
    <t>Total_Sales_Price</t>
  </si>
  <si>
    <t>Month_Order</t>
  </si>
  <si>
    <t>1 Total</t>
  </si>
  <si>
    <t>2 Total</t>
  </si>
  <si>
    <t>3 Total</t>
  </si>
  <si>
    <t>4 Total</t>
  </si>
  <si>
    <t>5 Total</t>
  </si>
  <si>
    <t>6 Total</t>
  </si>
  <si>
    <t>7 Total</t>
  </si>
  <si>
    <t>8 Total</t>
  </si>
  <si>
    <t>9 Total</t>
  </si>
  <si>
    <t>Sum_of _Sold_Quantity</t>
  </si>
  <si>
    <t>: تهیه‌کننده</t>
  </si>
  <si>
    <t>Planned_Profit</t>
  </si>
  <si>
    <t>Sheets Overview:
- Data_Main: داده‌های تمیز و آماده تحلیل شامل اطلاعات خرید، هزینه‌ها و محاسبات سود
- Sales_Data: اطلاعات فروش واقعی محصولات و محاسبه سود و وضعیت تحقق هدف فروش
- Sales_Dashboard: داشبورد تحلیلی شامل نمودارها، Pivot Table و Slicer برای بررسی عملکرد فروش
- Readme: راهنمای پروژه و توضیحات کلی تحلیل</t>
  </si>
  <si>
    <t>Planned_Profit_Percentage</t>
  </si>
  <si>
    <t>Actual_Profit_Percentage</t>
  </si>
  <si>
    <t>⚠️ نکات مهم پروژه</t>
  </si>
  <si>
    <t>در این پروژه دو نوع محاسبه سود انجام شده است:
Planned_Profit: سود بر اساس قیمت فروش مدنظر (تحلیل برنامه‌ریزی)
Actual_Profit: سود بر اساس قیمت فروش واقعی (تحلیل عملکرد واقعی فروش)
وجود این دو دید متفاوت امکان بررسی شکاف بین برنامه‌ریزی قیمت‌گذاری و عملکرد واقعی فروش را فراهم می‌کند.</t>
  </si>
  <si>
    <t>نکات فنی</t>
  </si>
  <si>
    <t>تبدیل تاریخ شمسی به میلادی با استفاده از VBA Macro انجام شده است (سازگار با نسخه‌های قدیمی‌تر Excel از جمله 2013 و بالاتر).
ستون تاریخ میلادی صرفاً برای افزایش سازگاری داده‌ها با ابزارهای تحلیلی مانند Power BI و Python اضافه شده است و مبنای اصلی تحلیل در اکسل، تاریخ شمسی است.</t>
  </si>
  <si>
    <t>Target_Sales_Unit_Price</t>
  </si>
  <si>
    <t>Actual_Sale_Price</t>
  </si>
  <si>
    <t xml:space="preserve"> مراحل پاک‌سازی و آماده سازی داده‌ها</t>
  </si>
  <si>
    <t>محاسبات و ستون‌های تحلیلی (به‌روز شده)</t>
  </si>
  <si>
    <t>داشبورد و مصورسازی داده‌ها</t>
  </si>
  <si>
    <t xml:space="preserve">
در شیت Sales_Dashboard از Pivot Table و Pivot Chart برای تحلیل داده‌ها استفاده شده است. داشبورد شامل موارد زیر است:
اسلایسرهای فیلتر بر اساس نام کالا و ماه فروش
جدول و نمودار بر اساس:
مجموع فروش کل
میانگین سود واقعی
میانگین درصد سود
اعمال Conditional Formatting بر روی ستون میانگین درصد سود برای نمایش سریع عملکرد کالاها
نمودار ترکیبی (چندمنحنی) جهت مقایسه شاخص‌های مالی
همچنین یک جدول و نمودار جداگانه برای تحلیل:
مجموع تعداد فروش بر اساس ماه (به ترتیب ماه‌های شمسی)
نمودار میله‌ای جهت نمایش روند فروش ماهانه</t>
  </si>
  <si>
    <t>تحلیل و Insightها</t>
  </si>
  <si>
    <t>Insight 1 – تحلیل سودآوری محصولات
محصولات با حاشیه سود بالاتر از 45٪ (مانند گپ، بلوز زنانه و مانتو مشکی) بیشترین سهم سودآوری را دارند و باید در برنامه فروش آینده تقویت شوند. محصولات با سود متوسط (30٪ تا 45٪) پتانسیل رشد از طریق بهبود قیمت‌گذاری یا تبلیغات دارند، در حالی که محصولات با سود کمتر از 30٪ نیازمند بازنگری در قیمت، هزینه یا مدیریت موجودی هستند.                                                  Insight 2 – روند فروش ماهانه
فروش ماهانه دارای نوسان مشخص است و در برخی ماه‌ها افزایش قابل توجهی مشاهده می‌شود که می‌تواند ناشی از تقاضای فصلی یا تغییر رفتار خرید مشتریان باشد. این الگو نشان می‌دهد برنامه‌ریزی خرید و مدیریت موجودی باید متناسب با ماه‌های پرفروش تنظیم شود تا از کمبود یا انباشت کالا جلوگیری گردد.</t>
  </si>
  <si>
    <t xml:space="preserve">محاسبات و ستون‌های تحلیلی:
در شیت Sales_Data ستونی با عنوان Sales_Status اضافه شده است.
با استفاده از تابع IF و بر اساس معیار تعداد فروش، کالاها به دسته‌هایی مانند هدف و غیرهدف تقسیم شده‌اند.
هدف از این مرحله افزایش خوانایی داده و ساده‌سازی تحلیل عملکرد فروش بوده است.
ستون Monthly_Sales_Target به‌منظور مقایسه عملکرد واقعی فروش هر کالا با هدف تعیین‌شده اضافه شده است.
این ستون امکان تحلیل میزان تحقق اهداف فروش را فراهم می‌کند.
در شیت Data_Main ستونی با عنوان Total_Purchase_Unit_Price اضافه شده است که نشان‌دهنده قیمت خرید تمام‌شده واقعی هر واحد کالا است.
در شیت Sales_data، ستون   Total_Unit_Cost (هزینه تمام‌شده هر واحد کالا یا بعبارتی دیگر قیمت خرید به ازای یک واحد کالا)  با استفاده از ترکیب توابع INDEX و MATCH از شیت اصلی (Data main) استخراج شده است.
این روش جایگزین VLOOKUP شده زیرا:
پایداری و دقت بالاتری دارد
وابستگی به موقعیت ستون‌ها ندارد
در پروژه‌های حرفه‌ای و مقیاس‌پذیر توصیه می‌شود
مقدار این ستون به‌عنوان ورودی محاسبه سود واقعی فروش (Actual Profit) استفاده شده است.                                                                                                                                                                                                                                                                                                                                                                 </t>
  </si>
  <si>
    <t>تحلیل داده‌های فروش لباس‌فروشی</t>
  </si>
  <si>
    <t>این فایل شامل داده‌های فروش یک لباس‌فروشی کوچک طی حدود ۹ ماه است. داده‌ها از ثبت‌های واقعی فروش و خرید جمع‌آوری شده و پس از انجام مراحل پاک‌سازی، یکپارچه‌سازی و محاسبات تکمیلی، برای تحلیل فروش، سودآوری و عملکرد محصولات آماده شده‌اند. هدف پروژه بررسی عملکرد فروش، سودآوری محصولات و روند فروش ماهانه است.</t>
  </si>
  <si>
    <t>بازه زمانی داده‌ها:</t>
  </si>
  <si>
    <t xml:space="preserve"> تیر تا اسفند 1404</t>
  </si>
  <si>
    <t xml:space="preserve"> در این پروژه، داده‌های فروش پیش از تحلیل، طی مراحل زیر پاک‌سازی و استانداردسازی شده‌اند:
حذف فاصله‌های اضافی (ابتدا و انتهای متن) در نام ستون‌ها
جایگزینی فاصله‌ها در نام ستون‌ها با علامت آندرلاین (_) جهت سازگاری با ابزارهای تحلیلی
تبدیل ستون‌هایی که به‌صورت متنی ذخیره شده بودند اما ماهیت عددی داشتند به فرمت عددی
با توجه به اینکه داده‌ها به‌صورت دستی و کنترل‌شده وارد شده‌اند، مقدار گمشده‌ای در داده‌ها وجود نداشت. ساختار فایل به‌صورت جدول‌محور طراحی شده و فرمول‌ها به‌گونه‌ای نوشته شده‌اند که در صورت افزودن داده‌های جدید یا ناقص، فایل دچار خطا نشود.
بولد و فریز کردن عنوان ستون‌ها برای بهبود خوانایی و سهولت کار با داده‌ها  </t>
  </si>
  <si>
    <t xml:space="preserve"> لینک گیت‌هاب </t>
  </si>
  <si>
    <t>https://github.com/hani-data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</si>
</sst>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3">
    <xf numFmtId="0" fontId="0" fillId="0" borderId="0" xfId="0"/>
    <xf numFmtId="0" fontId="0" fillId="0" borderId="0" xfId="0" applyAlignment="1">
      <alignment horizontal="center"/>
    </xf>
    <xf numFmtId="3" fontId="0" fillId="0" borderId="0" xfId="0" applyNumberFormat="1" applyAlignment="1">
      <alignment horizontal="center"/>
    </xf>
    <xf numFmtId="10" fontId="0" fillId="0" borderId="0" xfId="0" applyNumberFormat="1" applyAlignment="1">
      <alignment horizontal="center"/>
    </xf>
    <xf numFmtId="0" fontId="0" fillId="0" borderId="0" xfId="0" applyNumberFormat="1"/>
    <xf numFmtId="0" fontId="0" fillId="0" borderId="0" xfId="0" applyAlignment="1"/>
    <xf numFmtId="0" fontId="0" fillId="0" borderId="0" xfId="0" pivotButton="1" applyAlignment="1"/>
    <xf numFmtId="164" fontId="0" fillId="0" borderId="0" xfId="0" applyNumberFormat="1" applyAlignment="1">
      <alignment horizontal="center"/>
    </xf>
    <xf numFmtId="165" fontId="0" fillId="0" borderId="0" xfId="0" applyNumberFormat="1" applyAlignment="1">
      <alignment horizontal="center"/>
    </xf>
    <xf numFmtId="14" fontId="0" fillId="0" borderId="0" xfId="0" applyNumberFormat="1" applyAlignment="1">
      <alignment horizontal="center"/>
    </xf>
    <xf numFmtId="14" fontId="0" fillId="0" borderId="0" xfId="0" applyNumberFormat="1"/>
    <xf numFmtId="165" fontId="1" fillId="0" borderId="0" xfId="0" applyNumberFormat="1" applyFont="1" applyAlignment="1">
      <alignment horizontal="center"/>
    </xf>
    <xf numFmtId="165" fontId="0" fillId="0" borderId="0" xfId="0" applyNumberFormat="1"/>
    <xf numFmtId="0" fontId="0" fillId="0" borderId="0" xfId="0" pivotButton="1"/>
    <xf numFmtId="0" fontId="1" fillId="0" borderId="0" xfId="0" applyFont="1" applyAlignment="1">
      <alignment horizontal="center" wrapText="1"/>
    </xf>
    <xf numFmtId="0" fontId="0" fillId="0" borderId="0" xfId="0" applyAlignment="1">
      <alignment wrapText="1"/>
    </xf>
    <xf numFmtId="0" fontId="0" fillId="0" borderId="0" xfId="0" applyAlignment="1">
      <alignment horizontal="right" wrapText="1"/>
    </xf>
    <xf numFmtId="0" fontId="0" fillId="0" borderId="0" xfId="0" applyAlignment="1">
      <alignment horizontal="left" wrapText="1"/>
    </xf>
    <xf numFmtId="0" fontId="0" fillId="0" borderId="0" xfId="0" applyAlignment="1">
      <alignment horizontal="center" wrapText="1"/>
    </xf>
    <xf numFmtId="3" fontId="0" fillId="0" borderId="0" xfId="0" applyNumberFormat="1" applyAlignment="1">
      <alignment horizontal="center" wrapText="1"/>
    </xf>
    <xf numFmtId="3" fontId="1" fillId="0" borderId="0" xfId="0" applyNumberFormat="1" applyFont="1" applyAlignment="1">
      <alignment horizontal="center" wrapText="1"/>
    </xf>
    <xf numFmtId="0" fontId="0" fillId="0" borderId="0" xfId="0" applyAlignment="1">
      <alignment horizontal="right" wrapText="1" readingOrder="2"/>
    </xf>
    <xf numFmtId="0" fontId="2" fillId="0" borderId="0" xfId="1" applyAlignment="1">
      <alignment horizontal="right" wrapText="1"/>
    </xf>
  </cellXfs>
  <cellStyles count="2">
    <cellStyle name="Hyperlink" xfId="1" builtinId="8"/>
    <cellStyle name="Normal" xfId="0" builtinId="0"/>
  </cellStyles>
  <dxfs count="91">
    <dxf>
      <numFmt numFmtId="3" formatCode="#,##0"/>
    </dxf>
    <dxf>
      <numFmt numFmtId="3" formatCode="#,##0"/>
    </dxf>
    <dxf>
      <numFmt numFmtId="3" formatCode="#,##0"/>
    </dxf>
    <dxf>
      <numFmt numFmtId="3" formatCode="#,##0"/>
    </dxf>
    <dxf>
      <numFmt numFmtId="14" formatCode="0.0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4" formatCode="0.0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numFmt numFmtId="3" formatCode="#,##0"/>
    </dxf>
    <dxf>
      <numFmt numFmtId="3" formatCode="#,##0"/>
    </dxf>
    <dxf>
      <numFmt numFmtId="3" formatCode="#,##0"/>
    </dxf>
    <dxf>
      <numFmt numFmtId="3" formatCode="#,##0"/>
    </dxf>
    <dxf>
      <numFmt numFmtId="165" formatCode="0.0%"/>
      <alignment horizontal="center" vertical="bottom" textRotation="0" wrapText="0" indent="0" justifyLastLine="0" shrinkToFit="0" readingOrder="0"/>
    </dxf>
    <dxf>
      <numFmt numFmtId="3" formatCode="#,##0"/>
      <alignment horizontal="center" vertical="bottom" textRotation="0" wrapText="1" indent="0" justifyLastLine="0" shrinkToFit="0" readingOrder="0"/>
    </dxf>
    <dxf>
      <numFmt numFmtId="3" formatCode="#,##0"/>
      <alignment horizontal="center" vertical="bottom" textRotation="0" wrapText="1" indent="0" justifyLastLine="0" shrinkToFit="0" readingOrder="0"/>
    </dxf>
    <dxf>
      <numFmt numFmtId="0" formatCode="General"/>
      <alignment horizontal="center" vertical="bottom" textRotation="0" wrapText="0" indent="0" justifyLastLine="0" shrinkToFit="0" readingOrder="0"/>
    </dxf>
    <dxf>
      <numFmt numFmtId="3" formatCode="#,##0"/>
      <alignment horizontal="center" vertical="bottom" textRotation="0" wrapText="1" indent="0" justifyLastLine="0" shrinkToFit="0" readingOrder="0"/>
    </dxf>
    <dxf>
      <numFmt numFmtId="3" formatCode="#,##0"/>
      <alignment horizontal="center" vertical="bottom" textRotation="0" wrapText="1" indent="0" justifyLastLine="0" shrinkToFit="0" readingOrder="0"/>
    </dxf>
    <dxf>
      <numFmt numFmtId="3" formatCode="#,##0"/>
      <alignment horizontal="center" vertical="bottom" textRotation="0" wrapText="1" indent="0" justifyLastLine="0" shrinkToFit="0" readingOrder="0"/>
    </dxf>
    <dxf>
      <numFmt numFmtId="3" formatCode="#,##0"/>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92D050"/>
        </patternFill>
      </fill>
    </dxf>
    <dxf>
      <numFmt numFmtId="3" formatCode="#,##0"/>
    </dxf>
    <dxf>
      <numFmt numFmtId="3" formatCode="#,##0"/>
    </dxf>
    <dxf>
      <numFmt numFmtId="3" formatCode="#,##0"/>
    </dxf>
    <dxf>
      <numFmt numFmtId="3" formatCode="#,##0"/>
    </dxf>
    <dxf>
      <alignment horizontal="general" readingOrder="0"/>
    </dxf>
    <dxf>
      <alignment horizontal="general"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numFmt numFmtId="14" formatCode="0.00%"/>
    </dxf>
    <dxf>
      <numFmt numFmtId="3" formatCode="#,##0"/>
    </dxf>
    <dxf>
      <numFmt numFmtId="3" formatCode="#,##0"/>
    </dxf>
    <dxf>
      <numFmt numFmtId="3" formatCode="#,##0"/>
    </dxf>
    <dxf>
      <numFmt numFmtId="3" formatCode="#,##0"/>
    </dxf>
    <dxf>
      <fill>
        <patternFill>
          <bgColor rgb="FFFF0000"/>
        </patternFill>
      </fill>
    </dxf>
    <dxf>
      <fill>
        <patternFill>
          <bgColor rgb="FFFFFF00"/>
        </patternFill>
      </fill>
    </dxf>
    <dxf>
      <fill>
        <patternFill>
          <bgColor rgb="FF92D050"/>
        </patternFill>
      </fill>
    </dxf>
    <dxf>
      <fill>
        <patternFill>
          <bgColor rgb="FF92D050"/>
        </patternFill>
      </fill>
    </dxf>
    <dxf>
      <numFmt numFmtId="164" formatCode="yyyy\-mm\-dd"/>
      <alignment horizontal="center" vertical="bottom" textRotation="0" wrapText="0" indent="0" justifyLastLine="0" shrinkToFit="0" readingOrder="0"/>
    </dxf>
    <dxf>
      <numFmt numFmtId="165" formatCode="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[data_main_with_macro.xlsm]Sales_Dashboard!PivotTable1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Sales_Dashboard!$B$21</c:f>
              <c:strCache>
                <c:ptCount val="1"/>
                <c:pt idx="0">
                  <c:v>Sum_of_Total_Sales</c:v>
                </c:pt>
              </c:strCache>
            </c:strRef>
          </c:tx>
          <c:spPr>
            <a:ln w="28575" cap="rnd">
              <a:solidFill>
                <a:schemeClr val="accent1"/>
              </a:solidFill>
              <a:round/>
            </a:ln>
            <a:effectLst/>
          </c:spPr>
          <c:marker>
            <c:symbol val="none"/>
          </c:marker>
          <c:cat>
            <c:strRef>
              <c:f>Sales_Dashboard!$A$22:$A$33</c:f>
              <c:strCache>
                <c:ptCount val="11"/>
                <c:pt idx="0">
                  <c:v>گپ</c:v>
                </c:pt>
                <c:pt idx="1">
                  <c:v>بلوز زنانه</c:v>
                </c:pt>
                <c:pt idx="2">
                  <c:v>شومیز</c:v>
                </c:pt>
                <c:pt idx="3">
                  <c:v>مانتو مشکی</c:v>
                </c:pt>
                <c:pt idx="4">
                  <c:v>کلاه بافت</c:v>
                </c:pt>
                <c:pt idx="5">
                  <c:v>تیشرت مشکی</c:v>
                </c:pt>
                <c:pt idx="6">
                  <c:v> بلوزآستین فرشته</c:v>
                </c:pt>
                <c:pt idx="7">
                  <c:v>بافت بدون آستین</c:v>
                </c:pt>
                <c:pt idx="8">
                  <c:v>کراپ</c:v>
                </c:pt>
                <c:pt idx="9">
                  <c:v>لانگ</c:v>
                </c:pt>
                <c:pt idx="10">
                  <c:v>شلوار زنانه کریشه</c:v>
                </c:pt>
              </c:strCache>
            </c:strRef>
          </c:cat>
          <c:val>
            <c:numRef>
              <c:f>Sales_Dashboard!$B$22:$B$33</c:f>
              <c:numCache>
                <c:formatCode>#,##0</c:formatCode>
                <c:ptCount val="11"/>
                <c:pt idx="0">
                  <c:v>1760000</c:v>
                </c:pt>
                <c:pt idx="1">
                  <c:v>2820000</c:v>
                </c:pt>
                <c:pt idx="2">
                  <c:v>2550000</c:v>
                </c:pt>
                <c:pt idx="3">
                  <c:v>1770000</c:v>
                </c:pt>
                <c:pt idx="4">
                  <c:v>665000</c:v>
                </c:pt>
                <c:pt idx="5">
                  <c:v>1800000</c:v>
                </c:pt>
                <c:pt idx="6">
                  <c:v>2600000</c:v>
                </c:pt>
                <c:pt idx="7">
                  <c:v>1390000</c:v>
                </c:pt>
                <c:pt idx="8">
                  <c:v>1340000</c:v>
                </c:pt>
                <c:pt idx="9">
                  <c:v>970000</c:v>
                </c:pt>
                <c:pt idx="10">
                  <c:v>1580000</c:v>
                </c:pt>
              </c:numCache>
            </c:numRef>
          </c:val>
          <c:smooth val="0"/>
          <c:extLst>
            <c:ext xmlns:c16="http://schemas.microsoft.com/office/drawing/2014/chart" uri="{C3380CC4-5D6E-409C-BE32-E72D297353CC}">
              <c16:uniqueId val="{00000000-59BD-4715-8E23-0B30DCA9AB71}"/>
            </c:ext>
          </c:extLst>
        </c:ser>
        <c:ser>
          <c:idx val="1"/>
          <c:order val="1"/>
          <c:tx>
            <c:strRef>
              <c:f>Sales_Dashboard!$C$21</c:f>
              <c:strCache>
                <c:ptCount val="1"/>
                <c:pt idx="0">
                  <c:v>Average_of_Actual_Profit</c:v>
                </c:pt>
              </c:strCache>
            </c:strRef>
          </c:tx>
          <c:spPr>
            <a:ln w="28575" cap="rnd">
              <a:solidFill>
                <a:schemeClr val="accent2"/>
              </a:solidFill>
              <a:round/>
            </a:ln>
            <a:effectLst/>
          </c:spPr>
          <c:marker>
            <c:symbol val="none"/>
          </c:marker>
          <c:cat>
            <c:strRef>
              <c:f>Sales_Dashboard!$A$22:$A$33</c:f>
              <c:strCache>
                <c:ptCount val="11"/>
                <c:pt idx="0">
                  <c:v>گپ</c:v>
                </c:pt>
                <c:pt idx="1">
                  <c:v>بلوز زنانه</c:v>
                </c:pt>
                <c:pt idx="2">
                  <c:v>شومیز</c:v>
                </c:pt>
                <c:pt idx="3">
                  <c:v>مانتو مشکی</c:v>
                </c:pt>
                <c:pt idx="4">
                  <c:v>کلاه بافت</c:v>
                </c:pt>
                <c:pt idx="5">
                  <c:v>تیشرت مشکی</c:v>
                </c:pt>
                <c:pt idx="6">
                  <c:v> بلوزآستین فرشته</c:v>
                </c:pt>
                <c:pt idx="7">
                  <c:v>بافت بدون آستین</c:v>
                </c:pt>
                <c:pt idx="8">
                  <c:v>کراپ</c:v>
                </c:pt>
                <c:pt idx="9">
                  <c:v>لانگ</c:v>
                </c:pt>
                <c:pt idx="10">
                  <c:v>شلوار زنانه کریشه</c:v>
                </c:pt>
              </c:strCache>
            </c:strRef>
          </c:cat>
          <c:val>
            <c:numRef>
              <c:f>Sales_Dashboard!$C$22:$C$33</c:f>
              <c:numCache>
                <c:formatCode>#,##0</c:formatCode>
                <c:ptCount val="11"/>
                <c:pt idx="0">
                  <c:v>166666.66666666666</c:v>
                </c:pt>
                <c:pt idx="1">
                  <c:v>255000</c:v>
                </c:pt>
                <c:pt idx="2">
                  <c:v>294444.44444444444</c:v>
                </c:pt>
                <c:pt idx="3">
                  <c:v>203333.33333333334</c:v>
                </c:pt>
                <c:pt idx="4">
                  <c:v>43666.666666666672</c:v>
                </c:pt>
                <c:pt idx="5">
                  <c:v>540000</c:v>
                </c:pt>
                <c:pt idx="6">
                  <c:v>240333.33333333326</c:v>
                </c:pt>
                <c:pt idx="7">
                  <c:v>120000.00000000004</c:v>
                </c:pt>
                <c:pt idx="8">
                  <c:v>96666.666666666672</c:v>
                </c:pt>
                <c:pt idx="9">
                  <c:v>70000</c:v>
                </c:pt>
                <c:pt idx="10">
                  <c:v>68750</c:v>
                </c:pt>
              </c:numCache>
            </c:numRef>
          </c:val>
          <c:smooth val="0"/>
          <c:extLst>
            <c:ext xmlns:c16="http://schemas.microsoft.com/office/drawing/2014/chart" uri="{C3380CC4-5D6E-409C-BE32-E72D297353CC}">
              <c16:uniqueId val="{00000001-59BD-4715-8E23-0B30DCA9AB71}"/>
            </c:ext>
          </c:extLst>
        </c:ser>
        <c:ser>
          <c:idx val="2"/>
          <c:order val="2"/>
          <c:tx>
            <c:strRef>
              <c:f>Sales_Dashboard!$D$21</c:f>
              <c:strCache>
                <c:ptCount val="1"/>
                <c:pt idx="0">
                  <c:v>Average_of_Profit_Percentage</c:v>
                </c:pt>
              </c:strCache>
            </c:strRef>
          </c:tx>
          <c:spPr>
            <a:ln w="28575" cap="rnd">
              <a:solidFill>
                <a:schemeClr val="accent3"/>
              </a:solidFill>
              <a:round/>
            </a:ln>
            <a:effectLst/>
          </c:spPr>
          <c:marker>
            <c:symbol val="none"/>
          </c:marker>
          <c:cat>
            <c:strRef>
              <c:f>Sales_Dashboard!$A$22:$A$33</c:f>
              <c:strCache>
                <c:ptCount val="11"/>
                <c:pt idx="0">
                  <c:v>گپ</c:v>
                </c:pt>
                <c:pt idx="1">
                  <c:v>بلوز زنانه</c:v>
                </c:pt>
                <c:pt idx="2">
                  <c:v>شومیز</c:v>
                </c:pt>
                <c:pt idx="3">
                  <c:v>مانتو مشکی</c:v>
                </c:pt>
                <c:pt idx="4">
                  <c:v>کلاه بافت</c:v>
                </c:pt>
                <c:pt idx="5">
                  <c:v>تیشرت مشکی</c:v>
                </c:pt>
                <c:pt idx="6">
                  <c:v> بلوزآستین فرشته</c:v>
                </c:pt>
                <c:pt idx="7">
                  <c:v>بافت بدون آستین</c:v>
                </c:pt>
                <c:pt idx="8">
                  <c:v>کراپ</c:v>
                </c:pt>
                <c:pt idx="9">
                  <c:v>لانگ</c:v>
                </c:pt>
                <c:pt idx="10">
                  <c:v>شلوار زنانه کریشه</c:v>
                </c:pt>
              </c:strCache>
            </c:strRef>
          </c:cat>
          <c:val>
            <c:numRef>
              <c:f>Sales_Dashboard!$D$22:$D$33</c:f>
              <c:numCache>
                <c:formatCode>0.00%</c:formatCode>
                <c:ptCount val="11"/>
                <c:pt idx="0">
                  <c:v>0.60518292682926833</c:v>
                </c:pt>
                <c:pt idx="1">
                  <c:v>0.57499999999999996</c:v>
                </c:pt>
                <c:pt idx="2">
                  <c:v>0.55999999999999994</c:v>
                </c:pt>
                <c:pt idx="3">
                  <c:v>0.51724137931034486</c:v>
                </c:pt>
                <c:pt idx="4">
                  <c:v>0.47761194029850751</c:v>
                </c:pt>
                <c:pt idx="5">
                  <c:v>0.42857142857142855</c:v>
                </c:pt>
                <c:pt idx="6">
                  <c:v>0.38371474188398075</c:v>
                </c:pt>
                <c:pt idx="7">
                  <c:v>0.37864077669902918</c:v>
                </c:pt>
                <c:pt idx="8">
                  <c:v>0.29523809523809524</c:v>
                </c:pt>
                <c:pt idx="9">
                  <c:v>0.26315789473684209</c:v>
                </c:pt>
                <c:pt idx="10">
                  <c:v>0.22413793103448276</c:v>
                </c:pt>
              </c:numCache>
            </c:numRef>
          </c:val>
          <c:smooth val="0"/>
          <c:extLst>
            <c:ext xmlns:c16="http://schemas.microsoft.com/office/drawing/2014/chart" uri="{C3380CC4-5D6E-409C-BE32-E72D297353CC}">
              <c16:uniqueId val="{00000002-59BD-4715-8E23-0B30DCA9AB71}"/>
            </c:ext>
          </c:extLst>
        </c:ser>
        <c:dLbls>
          <c:showLegendKey val="0"/>
          <c:showVal val="0"/>
          <c:showCatName val="0"/>
          <c:showSerName val="0"/>
          <c:showPercent val="0"/>
          <c:showBubbleSize val="0"/>
        </c:dLbls>
        <c:smooth val="0"/>
        <c:axId val="828581072"/>
        <c:axId val="828576176"/>
      </c:lineChart>
      <c:catAx>
        <c:axId val="82858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a-IR"/>
                  <a:t>نام کالا</a:t>
                </a:r>
                <a:endParaRPr lang="en-US"/>
              </a:p>
            </c:rich>
          </c:tx>
          <c:overlay val="0"/>
          <c:spPr>
            <a:solidFill>
              <a:srgbClr val="00B0F0"/>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576176"/>
        <c:crosses val="autoZero"/>
        <c:auto val="1"/>
        <c:lblAlgn val="ctr"/>
        <c:lblOffset val="100"/>
        <c:noMultiLvlLbl val="0"/>
      </c:catAx>
      <c:valAx>
        <c:axId val="828576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a-IR" sz="1000" b="0" i="0" u="none" strike="noStrike" baseline="0"/>
                  <a:t>مقیاس‌های عملکرد فروش</a:t>
                </a:r>
                <a:endParaRPr lang="en-US"/>
              </a:p>
            </c:rich>
          </c:tx>
          <c:overlay val="0"/>
          <c:spPr>
            <a:solidFill>
              <a:srgbClr val="00B0F0"/>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58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[data_main_with_macro.xlsm]Sales_Dashboard!PivotTable2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 Volume</a:t>
            </a:r>
          </a:p>
          <a:p>
            <a:pPr>
              <a:defRPr/>
            </a:pPr>
            <a:endParaRPr lang="en-US"/>
          </a:p>
        </c:rich>
      </c:tx>
      <c:layout>
        <c:manualLayout>
          <c:xMode val="edge"/>
          <c:yMode val="edge"/>
          <c:x val="0.31838888888888894"/>
          <c:y val="0.1008311461067366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Sales_Dashboard!$C$48</c:f>
              <c:strCache>
                <c:ptCount val="1"/>
                <c:pt idx="0">
                  <c:v>Total</c:v>
                </c:pt>
              </c:strCache>
            </c:strRef>
          </c:tx>
          <c:spPr>
            <a:solidFill>
              <a:schemeClr val="accent1"/>
            </a:solidFill>
            <a:ln>
              <a:noFill/>
            </a:ln>
            <a:effectLst/>
          </c:spPr>
          <c:invertIfNegative val="0"/>
          <c:cat>
            <c:multiLvlStrRef>
              <c:f>Sales_Dashboard!$A$49:$B$66</c:f>
              <c:multiLvlStrCache>
                <c:ptCount val="9"/>
                <c:lvl>
                  <c:pt idx="0">
                    <c:v>تیر 1404</c:v>
                  </c:pt>
                  <c:pt idx="1">
                    <c:v>مرداد1404</c:v>
                  </c:pt>
                  <c:pt idx="2">
                    <c:v>شهریور1404</c:v>
                  </c:pt>
                  <c:pt idx="3">
                    <c:v>مهر1404 </c:v>
                  </c:pt>
                  <c:pt idx="4">
                    <c:v>آبان1404</c:v>
                  </c:pt>
                  <c:pt idx="5">
                    <c:v>آذر1404</c:v>
                  </c:pt>
                  <c:pt idx="6">
                    <c:v>دی1404</c:v>
                  </c:pt>
                  <c:pt idx="7">
                    <c:v>بهمن1404</c:v>
                  </c:pt>
                  <c:pt idx="8">
                    <c:v>اسفند1404</c:v>
                  </c:pt>
                </c:lvl>
                <c:lvl>
                  <c:pt idx="0">
                    <c:v>1</c:v>
                  </c:pt>
                  <c:pt idx="1">
                    <c:v>2</c:v>
                  </c:pt>
                  <c:pt idx="2">
                    <c:v>3</c:v>
                  </c:pt>
                  <c:pt idx="3">
                    <c:v>4</c:v>
                  </c:pt>
                  <c:pt idx="4">
                    <c:v>5</c:v>
                  </c:pt>
                  <c:pt idx="5">
                    <c:v>6</c:v>
                  </c:pt>
                  <c:pt idx="6">
                    <c:v>7</c:v>
                  </c:pt>
                  <c:pt idx="7">
                    <c:v>8</c:v>
                  </c:pt>
                  <c:pt idx="8">
                    <c:v>9</c:v>
                  </c:pt>
                </c:lvl>
              </c:multiLvlStrCache>
            </c:multiLvlStrRef>
          </c:cat>
          <c:val>
            <c:numRef>
              <c:f>Sales_Dashboard!$C$49:$C$66</c:f>
              <c:numCache>
                <c:formatCode>General</c:formatCode>
                <c:ptCount val="9"/>
                <c:pt idx="0">
                  <c:v>2</c:v>
                </c:pt>
                <c:pt idx="1">
                  <c:v>4</c:v>
                </c:pt>
                <c:pt idx="2">
                  <c:v>19</c:v>
                </c:pt>
                <c:pt idx="3">
                  <c:v>9</c:v>
                </c:pt>
                <c:pt idx="4">
                  <c:v>14</c:v>
                </c:pt>
                <c:pt idx="5">
                  <c:v>10</c:v>
                </c:pt>
                <c:pt idx="6">
                  <c:v>8</c:v>
                </c:pt>
                <c:pt idx="7">
                  <c:v>1</c:v>
                </c:pt>
                <c:pt idx="8">
                  <c:v>1</c:v>
                </c:pt>
              </c:numCache>
            </c:numRef>
          </c:val>
          <c:extLst>
            <c:ext xmlns:c16="http://schemas.microsoft.com/office/drawing/2014/chart" uri="{C3380CC4-5D6E-409C-BE32-E72D297353CC}">
              <c16:uniqueId val="{00000000-C24E-4760-B211-5A696C8E7291}"/>
            </c:ext>
          </c:extLst>
        </c:ser>
        <c:dLbls>
          <c:showLegendKey val="0"/>
          <c:showVal val="0"/>
          <c:showCatName val="0"/>
          <c:showSerName val="0"/>
          <c:showPercent val="0"/>
          <c:showBubbleSize val="0"/>
        </c:dLbls>
        <c:gapWidth val="219"/>
        <c:overlap val="-27"/>
        <c:axId val="1302306703"/>
        <c:axId val="1302308623"/>
      </c:barChart>
      <c:catAx>
        <c:axId val="130230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308623"/>
        <c:crosses val="autoZero"/>
        <c:auto val="1"/>
        <c:lblAlgn val="ctr"/>
        <c:lblOffset val="100"/>
        <c:noMultiLvlLbl val="0"/>
      </c:catAx>
      <c:valAx>
        <c:axId val="1302308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306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3</xdr:row>
      <xdr:rowOff>161925</xdr:rowOff>
    </xdr:from>
    <xdr:to>
      <xdr:col>1</xdr:col>
      <xdr:colOff>847725</xdr:colOff>
      <xdr:row>17</xdr:row>
      <xdr:rowOff>19050</xdr:rowOff>
    </xdr:to>
    <mc:AlternateContent xmlns:mc="http://schemas.openxmlformats.org/markup-compatibility/2006" xmlns:a14="http://schemas.microsoft.com/office/drawing/2010/main">
      <mc:Choice Requires="a14">
        <xdr:graphicFrame macro="">
          <xdr:nvGraphicFramePr>
            <xdr:cNvPr id="2" name="Product_Nam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209550" y="733425"/>
              <a:ext cx="17430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1066800</xdr:colOff>
      <xdr:row>3</xdr:row>
      <xdr:rowOff>180975</xdr:rowOff>
    </xdr:from>
    <xdr:to>
      <xdr:col>2</xdr:col>
      <xdr:colOff>1552575</xdr:colOff>
      <xdr:row>17</xdr:row>
      <xdr:rowOff>38100</xdr:rowOff>
    </xdr:to>
    <mc:AlternateContent xmlns:mc="http://schemas.openxmlformats.org/markup-compatibility/2006" xmlns:a14="http://schemas.microsoft.com/office/drawing/2010/main">
      <mc:Choice Requires="a14">
        <xdr:graphicFrame macro="">
          <xdr:nvGraphicFramePr>
            <xdr:cNvPr id="3" name="ماه_فروش">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ماه_فروش"/>
            </a:graphicData>
          </a:graphic>
        </xdr:graphicFrame>
      </mc:Choice>
      <mc:Fallback xmlns="">
        <xdr:sp macro="" textlink="">
          <xdr:nvSpPr>
            <xdr:cNvPr id="0" name=""/>
            <xdr:cNvSpPr>
              <a:spLocks noTextEdit="1"/>
            </xdr:cNvSpPr>
          </xdr:nvSpPr>
          <xdr:spPr>
            <a:xfrm>
              <a:off x="2209800" y="752475"/>
              <a:ext cx="17526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66675</xdr:colOff>
      <xdr:row>20</xdr:row>
      <xdr:rowOff>4761</xdr:rowOff>
    </xdr:from>
    <xdr:to>
      <xdr:col>14</xdr:col>
      <xdr:colOff>66675</xdr:colOff>
      <xdr:row>35</xdr:row>
      <xdr:rowOff>9524</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66675</xdr:colOff>
      <xdr:row>35</xdr:row>
      <xdr:rowOff>123824</xdr:rowOff>
    </xdr:from>
    <xdr:to>
      <xdr:col>13</xdr:col>
      <xdr:colOff>600075</xdr:colOff>
      <xdr:row>44</xdr:row>
      <xdr:rowOff>95250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791325" y="6810374"/>
          <a:ext cx="5410200" cy="1685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fa-IR" b="1"/>
            <a:t>خلاصه تحلیل فروش و سودآوری:</a:t>
          </a:r>
          <a:br>
            <a:rPr lang="fa-IR"/>
          </a:br>
          <a:r>
            <a:rPr lang="fa-IR">
              <a:cs typeface="B Nazanin" panose="00000400000000000000" pitchFamily="2" charset="-78"/>
            </a:rPr>
            <a:t>محصولاتی مانند </a:t>
          </a:r>
          <a:r>
            <a:rPr lang="fa-IR" b="1">
              <a:cs typeface="B Nazanin" panose="00000400000000000000" pitchFamily="2" charset="-78"/>
            </a:rPr>
            <a:t>گپ، بلوز زنانه، شومیز،</a:t>
          </a:r>
          <a:r>
            <a:rPr lang="fa-IR" b="1" baseline="0">
              <a:cs typeface="B Nazanin" panose="00000400000000000000" pitchFamily="2" charset="-78"/>
            </a:rPr>
            <a:t> مانتو مشکی و کلاه بافت</a:t>
          </a:r>
          <a:r>
            <a:rPr lang="fa-IR">
              <a:cs typeface="B Nazanin" panose="00000400000000000000" pitchFamily="2" charset="-78"/>
            </a:rPr>
            <a:t> با </a:t>
          </a:r>
          <a:r>
            <a:rPr lang="fa-IR" b="1">
              <a:cs typeface="B Nazanin" panose="00000400000000000000" pitchFamily="2" charset="-78"/>
            </a:rPr>
            <a:t>درصد سود بالای 45٪</a:t>
          </a:r>
          <a:r>
            <a:rPr lang="fa-IR">
              <a:cs typeface="B Nazanin" panose="00000400000000000000" pitchFamily="2" charset="-78"/>
            </a:rPr>
            <a:t> بیشترین سودآوری را دارند و باید در برنامه فروش آینده تقویت شوند.</a:t>
          </a:r>
          <a:br>
            <a:rPr lang="fa-IR">
              <a:cs typeface="B Nazanin" panose="00000400000000000000" pitchFamily="2" charset="-78"/>
            </a:rPr>
          </a:br>
          <a:r>
            <a:rPr lang="fa-IR">
              <a:cs typeface="B Nazanin" panose="00000400000000000000" pitchFamily="2" charset="-78"/>
            </a:rPr>
            <a:t>محصولات با سود </a:t>
          </a:r>
          <a:r>
            <a:rPr lang="fa-IR" b="1">
              <a:cs typeface="B Nazanin" panose="00000400000000000000" pitchFamily="2" charset="-78"/>
            </a:rPr>
            <a:t>30% تا 45% </a:t>
          </a:r>
          <a:r>
            <a:rPr lang="fa-IR">
              <a:cs typeface="B Nazanin" panose="00000400000000000000" pitchFamily="2" charset="-78"/>
            </a:rPr>
            <a:t> مثل </a:t>
          </a:r>
          <a:r>
            <a:rPr lang="fa-IR" b="1">
              <a:cs typeface="B Nazanin" panose="00000400000000000000" pitchFamily="2" charset="-78"/>
            </a:rPr>
            <a:t>تیشرت مشکی، بلوز آستین فرشته</a:t>
          </a:r>
          <a:r>
            <a:rPr lang="fa-IR" b="1" baseline="0">
              <a:cs typeface="B Nazanin" panose="00000400000000000000" pitchFamily="2" charset="-78"/>
            </a:rPr>
            <a:t> و بافت بدون آستین</a:t>
          </a:r>
          <a:r>
            <a:rPr lang="fa-IR">
              <a:cs typeface="B Nazanin" panose="00000400000000000000" pitchFamily="2" charset="-78"/>
            </a:rPr>
            <a:t> عملکرد متوسطی دارند و با بهبود قیمت‌گذاری یا تبلیغات قابل رشد هستند.</a:t>
          </a:r>
          <a:br>
            <a:rPr lang="fa-IR">
              <a:cs typeface="B Nazanin" panose="00000400000000000000" pitchFamily="2" charset="-78"/>
            </a:rPr>
          </a:br>
          <a:r>
            <a:rPr lang="fa-IR">
              <a:cs typeface="B Nazanin" panose="00000400000000000000" pitchFamily="2" charset="-78"/>
            </a:rPr>
            <a:t>محصولات با سود </a:t>
          </a:r>
          <a:r>
            <a:rPr lang="fa-IR" b="1">
              <a:cs typeface="B Nazanin" panose="00000400000000000000" pitchFamily="2" charset="-78"/>
            </a:rPr>
            <a:t>کمتر از 30%</a:t>
          </a:r>
          <a:r>
            <a:rPr lang="fa-IR">
              <a:cs typeface="B Nazanin" panose="00000400000000000000" pitchFamily="2" charset="-78"/>
            </a:rPr>
            <a:t> مانند </a:t>
          </a:r>
          <a:r>
            <a:rPr lang="fa-IR" b="1">
              <a:cs typeface="B Nazanin" panose="00000400000000000000" pitchFamily="2" charset="-78"/>
            </a:rPr>
            <a:t>کراپ،</a:t>
          </a:r>
          <a:r>
            <a:rPr lang="fa-IR" b="1" baseline="0">
              <a:cs typeface="B Nazanin" panose="00000400000000000000" pitchFamily="2" charset="-78"/>
            </a:rPr>
            <a:t> لانگ و شلوار زنانه کریشه</a:t>
          </a:r>
          <a:r>
            <a:rPr lang="fa-IR">
              <a:cs typeface="B Nazanin" panose="00000400000000000000" pitchFamily="2" charset="-78"/>
            </a:rPr>
            <a:t> نیازمند توجه ویژه هستند، چون سودآوری ضعیف دارند. اصلاح قیمت، کاهش هزینه یا مدیریت موجودی توصیه می‌شود.</a:t>
          </a:r>
          <a:endParaRPr lang="en-US" sz="1100">
            <a:cs typeface="B Nazanin" panose="00000400000000000000" pitchFamily="2" charset="-78"/>
          </a:endParaRPr>
        </a:p>
      </xdr:txBody>
    </xdr:sp>
    <xdr:clientData/>
  </xdr:twoCellAnchor>
  <xdr:twoCellAnchor>
    <xdr:from>
      <xdr:col>3</xdr:col>
      <xdr:colOff>561975</xdr:colOff>
      <xdr:row>64</xdr:row>
      <xdr:rowOff>19051</xdr:rowOff>
    </xdr:from>
    <xdr:to>
      <xdr:col>7</xdr:col>
      <xdr:colOff>561976</xdr:colOff>
      <xdr:row>70</xdr:row>
      <xdr:rowOff>38101</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3952875" y="12230101"/>
          <a:ext cx="3743326" cy="1162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fa-IR" sz="1100" b="1"/>
            <a:t>تحلیل</a:t>
          </a:r>
          <a:r>
            <a:rPr lang="fa-IR" sz="1100" b="1" baseline="0"/>
            <a:t> روند فروش ماهانه:</a:t>
          </a:r>
        </a:p>
        <a:p>
          <a:pPr algn="r"/>
          <a:r>
            <a:rPr lang="fa-IR" sz="1100" b="0" baseline="0"/>
            <a:t>این نمودار نشان می دهد که تعداد فروش در ماه های مختلف چه الگو و نوسانی داشته است. افزایش فروش در برخی ماه ها می تواند ناشی از تقاضای فصلی، تنوع موجودی، یا رفتار مشتریان باشد. بررسی این روند کمک میکند برنامه ریزی بهتری برای خرید، موجودی و فروش آینده انجام شود.</a:t>
          </a:r>
          <a:r>
            <a:rPr lang="fa-IR"/>
            <a:t>این تحلیل می‌تواند به بهینه‌سازی خرید، کنترل موجودی و برنامه‌ریزی قیمت‌گذاری کمک کند.</a:t>
          </a:r>
          <a:endParaRPr lang="en-US" sz="1100" b="0"/>
        </a:p>
      </xdr:txBody>
    </xdr:sp>
    <xdr:clientData/>
  </xdr:twoCellAnchor>
  <xdr:twoCellAnchor>
    <xdr:from>
      <xdr:col>2</xdr:col>
      <xdr:colOff>1485900</xdr:colOff>
      <xdr:row>0</xdr:row>
      <xdr:rowOff>104775</xdr:rowOff>
    </xdr:from>
    <xdr:to>
      <xdr:col>6</xdr:col>
      <xdr:colOff>276226</xdr:colOff>
      <xdr:row>2</xdr:row>
      <xdr:rowOff>152400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4076700" y="104775"/>
          <a:ext cx="3533776" cy="428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t>Sales Performance Dashboard</a:t>
          </a:r>
        </a:p>
      </xdr:txBody>
    </xdr:sp>
    <xdr:clientData/>
  </xdr:twoCellAnchor>
  <xdr:twoCellAnchor>
    <xdr:from>
      <xdr:col>7</xdr:col>
      <xdr:colOff>523875</xdr:colOff>
      <xdr:row>3</xdr:row>
      <xdr:rowOff>85725</xdr:rowOff>
    </xdr:from>
    <xdr:to>
      <xdr:col>11</xdr:col>
      <xdr:colOff>600075</xdr:colOff>
      <xdr:row>5</xdr:row>
      <xdr:rowOff>161925</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8058150" y="657225"/>
          <a:ext cx="2514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a-IR" sz="1200" b="1"/>
            <a:t>دوره گزارش‌گیری: تیر تا اسفند ۱۴۰۴</a:t>
          </a:r>
          <a:endParaRPr lang="en-US" sz="1200" b="1"/>
        </a:p>
      </xdr:txBody>
    </xdr:sp>
    <xdr:clientData/>
  </xdr:twoCellAnchor>
  <xdr:twoCellAnchor>
    <xdr:from>
      <xdr:col>3</xdr:col>
      <xdr:colOff>190500</xdr:colOff>
      <xdr:row>48</xdr:row>
      <xdr:rowOff>23812</xdr:rowOff>
    </xdr:from>
    <xdr:to>
      <xdr:col>8</xdr:col>
      <xdr:colOff>409575</xdr:colOff>
      <xdr:row>62</xdr:row>
      <xdr:rowOff>100012</xdr:rowOff>
    </xdr:to>
    <xdr:graphicFrame macro="">
      <xdr:nvGraphicFramePr>
        <xdr:cNvPr id="10" name="Chart 9">
          <a:extLst>
            <a:ext uri="{FF2B5EF4-FFF2-40B4-BE49-F238E27FC236}">
              <a16:creationId xmlns:a16="http://schemas.microsoft.com/office/drawing/2014/main" id="{9B238465-6FBE-1599-156A-07E2B974B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T www.Win2Farsi.com" refreshedDate="45954.399725115742" createdVersion="5" refreshedVersion="5" minRefreshableVersion="3" recordCount="40" xr:uid="{00000000-000A-0000-FFFF-FFFF01000000}">
  <cacheSource type="worksheet">
    <worksheetSource ref="A1:K1048576" sheet="Sales_data"/>
  </cacheSource>
  <cacheFields count="10">
    <cacheField name="نام_کالا" numFmtId="0">
      <sharedItems containsBlank="1" count="12">
        <s v="گپ"/>
        <s v="کلاه بافت"/>
        <s v="بافت بدون آستین"/>
        <s v="کراپ"/>
        <s v="لانگ"/>
        <s v="مانتو مشکی"/>
        <s v="بلوز زنانه"/>
        <s v="تیشرت مشکی"/>
        <s v=" بلوزآستین فرشته"/>
        <s v="شومیز"/>
        <s v="شلوار زنانه کریشه"/>
        <m/>
      </sharedItems>
    </cacheField>
    <cacheField name="ماه_فروش" numFmtId="0">
      <sharedItems containsBlank="1" count="11">
        <s v="مهر1404 "/>
        <s v="شهریور1404"/>
        <s v="شهریور1405"/>
        <s v="تیر 1404"/>
        <s v="مرداد1404"/>
        <s v="آبان1404"/>
        <s v="آذر1404"/>
        <s v="دی1404"/>
        <s v="بهمن1404"/>
        <s v="اسفند1404"/>
        <m/>
      </sharedItems>
    </cacheField>
    <cacheField name="تعداد_فروخته_شده" numFmtId="3">
      <sharedItems containsString="0" containsBlank="1" containsNumber="1" containsInteger="1" minValue="1" maxValue="6"/>
    </cacheField>
    <cacheField name="قیمت_فروخته_شده" numFmtId="0">
      <sharedItems containsString="0" containsBlank="1" containsNumber="1" containsInteger="1" minValue="50000" maxValue="700000"/>
    </cacheField>
    <cacheField name="جمع_فروش" numFmtId="3">
      <sharedItems containsString="0" containsBlank="1" containsNumber="1" containsInteger="1" minValue="55000" maxValue="1800000"/>
    </cacheField>
    <cacheField name="هدف_فروش_ماهانه" numFmtId="3">
      <sharedItems containsString="0" containsBlank="1" containsNumber="1" containsInteger="1" minValue="0" maxValue="5"/>
    </cacheField>
    <cacheField name="وضعیت_فروش" numFmtId="0">
      <sharedItems containsBlank="1"/>
    </cacheField>
    <cacheField name="سود_واقعی_فروش" numFmtId="0">
      <sharedItems containsString="0" containsBlank="1" containsNumber="1" minValue="17777.777777777781" maxValue="540000"/>
    </cacheField>
    <cacheField name="قیمت_تمام_شده_واحد" numFmtId="3">
      <sharedItems containsBlank="1" containsMixedTypes="1" containsNumber="1" minValue="37222.222222222219" maxValue="416666.66666666669"/>
    </cacheField>
    <cacheField name="درصد_سود" numFmtId="10">
      <sharedItems containsString="0" containsBlank="1" containsNumber="1" minValue="0.14285714285714285" maxValue="0.67999999999999994"/>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T www.Win2Farsi.com" refreshedDate="46006.23224247685" createdVersion="5" refreshedVersion="8" minRefreshableVersion="3" recordCount="36" xr:uid="{00000000-000A-0000-FFFF-FFFF00000000}">
  <cacheSource type="worksheet">
    <worksheetSource name="Table2"/>
  </cacheSource>
  <cacheFields count="11">
    <cacheField name="Product_Name" numFmtId="0">
      <sharedItems/>
    </cacheField>
    <cacheField name="Sales_Month" numFmtId="0">
      <sharedItems count="9">
        <s v="مهر1404 "/>
        <s v="شهریور1404"/>
        <s v="تیر 1404"/>
        <s v="مرداد1404"/>
        <s v="آبان1404"/>
        <s v="آذر1404"/>
        <s v="دی1404"/>
        <s v="بهمن1404"/>
        <s v="اسفند1404"/>
      </sharedItems>
    </cacheField>
    <cacheField name="Month_Order" numFmtId="0">
      <sharedItems containsSemiMixedTypes="0" containsString="0" containsNumber="1" containsInteger="1" minValue="1" maxValue="9" count="9">
        <n v="4"/>
        <n v="3"/>
        <n v="1"/>
        <n v="2"/>
        <n v="5"/>
        <n v="6"/>
        <n v="7"/>
        <n v="8"/>
        <n v="9"/>
      </sharedItems>
    </cacheField>
    <cacheField name="Sold_Quantity" numFmtId="3">
      <sharedItems containsSemiMixedTypes="0" containsString="0" containsNumber="1" containsInteger="1" minValue="1" maxValue="6"/>
    </cacheField>
    <cacheField name="Sold_Price" numFmtId="3">
      <sharedItems containsSemiMixedTypes="0" containsString="0" containsNumber="1" containsInteger="1" minValue="50000" maxValue="700000"/>
    </cacheField>
    <cacheField name="Total_Sales" numFmtId="3">
      <sharedItems containsSemiMixedTypes="0" containsString="0" containsNumber="1" containsInteger="1" minValue="55000" maxValue="1800000"/>
    </cacheField>
    <cacheField name="Monthly_Sales_Target" numFmtId="3">
      <sharedItems containsSemiMixedTypes="0" containsString="0" containsNumber="1" containsInteger="1" minValue="0" maxValue="5"/>
    </cacheField>
    <cacheField name="Sales_Status" numFmtId="0">
      <sharedItems/>
    </cacheField>
    <cacheField name="Actual_Profit" numFmtId="3">
      <sharedItems containsSemiMixedTypes="0" containsString="0" containsNumber="1" minValue="17777.777777777781" maxValue="540000"/>
    </cacheField>
    <cacheField name="Total_Unit_Cost" numFmtId="3">
      <sharedItems containsSemiMixedTypes="0" containsString="0" containsNumber="1" minValue="37222.222222222219" maxValue="425000"/>
    </cacheField>
    <cacheField name="Profit_Percentage" numFmtId="165">
      <sharedItems containsSemiMixedTypes="0" containsString="0" containsNumber="1" minValue="0.14285714285714285" maxValue="0.647058823529411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0">
  <r>
    <x v="0"/>
    <x v="0"/>
    <n v="2"/>
    <n v="290000"/>
    <n v="580000"/>
    <n v="4"/>
    <s v="غیر هدف"/>
    <n v="215555.55555555556"/>
    <n v="182222.22222222222"/>
    <n v="0.59146341463414642"/>
  </r>
  <r>
    <x v="1"/>
    <x v="0"/>
    <n v="1"/>
    <n v="55000"/>
    <n v="55000"/>
    <n v="0"/>
    <s v="هدف"/>
    <n v="17777.777777777781"/>
    <n v="37222.222222222219"/>
    <n v="0.47761194029850756"/>
  </r>
  <r>
    <x v="2"/>
    <x v="0"/>
    <n v="2"/>
    <n v="240000"/>
    <n v="480000"/>
    <n v="5"/>
    <s v="غیر هدف"/>
    <n v="136666.66666666669"/>
    <n v="171666.66666666666"/>
    <n v="0.39805825242718457"/>
  </r>
  <r>
    <x v="3"/>
    <x v="1"/>
    <n v="3"/>
    <n v="230000"/>
    <n v="690000"/>
    <n v="2"/>
    <s v="هدف"/>
    <n v="165000"/>
    <n v="175000"/>
    <n v="0.31428571428571428"/>
  </r>
  <r>
    <x v="4"/>
    <x v="2"/>
    <n v="2"/>
    <n v="250000"/>
    <n v="500000"/>
    <n v="3"/>
    <s v="غیر هدف"/>
    <n v="120000"/>
    <n v="190000"/>
    <n v="0.31578947368421051"/>
  </r>
  <r>
    <x v="5"/>
    <x v="3"/>
    <n v="1"/>
    <n v="420000"/>
    <n v="420000"/>
    <n v="2"/>
    <s v="غیر هدف"/>
    <n v="130000"/>
    <n v="290000"/>
    <n v="0.44827586206896552"/>
  </r>
  <r>
    <x v="6"/>
    <x v="3"/>
    <n v="1"/>
    <n v="480000"/>
    <n v="480000"/>
    <n v="3"/>
    <s v="غیر هدف"/>
    <n v="180000"/>
    <n v="300000"/>
    <n v="0.6"/>
  </r>
  <r>
    <x v="7"/>
    <x v="1"/>
    <n v="6"/>
    <n v="300000"/>
    <n v="1800000"/>
    <n v="3"/>
    <s v="هدف"/>
    <n v="540000"/>
    <n v="210000"/>
    <n v="0.42857142857142855"/>
  </r>
  <r>
    <x v="8"/>
    <x v="4"/>
    <n v="3"/>
    <n v="450000"/>
    <n v="1350000"/>
    <n v="4"/>
    <s v="غیر هدف"/>
    <n v="410499.99999999994"/>
    <n v="313166.66666666669"/>
    <n v="0.43693453964874923"/>
  </r>
  <r>
    <x v="9"/>
    <x v="4"/>
    <n v="1"/>
    <n v="650000"/>
    <n v="650000"/>
    <n v="2"/>
    <s v="غیر هدف"/>
    <n v="233333.33333333331"/>
    <n v="416666.66666666669"/>
    <n v="0.55999999999999994"/>
  </r>
  <r>
    <x v="10"/>
    <x v="1"/>
    <n v="3"/>
    <n v="180000"/>
    <n v="540000"/>
    <n v="5"/>
    <s v="غیر هدف"/>
    <n v="105000"/>
    <n v="145000"/>
    <n v="0.2413793103448276"/>
  </r>
  <r>
    <x v="0"/>
    <x v="5"/>
    <n v="2"/>
    <n v="300000"/>
    <n v="600000"/>
    <n v="2"/>
    <s v="هدف"/>
    <n v="235555.55555555556"/>
    <n v="182222.22222222222"/>
    <n v="0.64634146341463417"/>
  </r>
  <r>
    <x v="0"/>
    <x v="6"/>
    <n v="1"/>
    <n v="280000"/>
    <n v="280000"/>
    <n v="0"/>
    <s v="هدف"/>
    <n v="97777.777777777781"/>
    <n v="182222.22222222222"/>
    <n v="0.53658536585365857"/>
  </r>
  <r>
    <x v="0"/>
    <x v="7"/>
    <n v="1"/>
    <n v="300000"/>
    <n v="300000"/>
    <n v="0"/>
    <s v="هدف"/>
    <n v="117777.77777777778"/>
    <n v="182222.22222222222"/>
    <n v="0.64634146341463417"/>
  </r>
  <r>
    <x v="1"/>
    <x v="5"/>
    <n v="3"/>
    <n v="50000"/>
    <n v="150000"/>
    <n v="3"/>
    <s v="هدف"/>
    <n v="38333.333333333343"/>
    <n v="37222.222222222219"/>
    <n v="0.34328358208955234"/>
  </r>
  <r>
    <x v="1"/>
    <x v="6"/>
    <n v="3"/>
    <n v="55000"/>
    <n v="165000"/>
    <n v="5"/>
    <s v="غیر هدف"/>
    <n v="53333.333333333343"/>
    <n v="37222.222222222219"/>
    <n v="0.47761194029850756"/>
  </r>
  <r>
    <x v="1"/>
    <x v="7"/>
    <n v="4"/>
    <n v="60000"/>
    <n v="240000"/>
    <n v="3"/>
    <s v="هدف"/>
    <n v="91111.111111111124"/>
    <n v="37222.222222222219"/>
    <n v="0.61194029850746279"/>
  </r>
  <r>
    <x v="1"/>
    <x v="8"/>
    <n v="1"/>
    <n v="55000"/>
    <n v="55000"/>
    <n v="1"/>
    <s v="هدف"/>
    <n v="17777.777777777781"/>
    <n v="37222.222222222219"/>
    <n v="0.47761194029850756"/>
  </r>
  <r>
    <x v="2"/>
    <x v="5"/>
    <n v="3"/>
    <n v="220000"/>
    <n v="660000"/>
    <n v="1"/>
    <s v="هدف"/>
    <n v="145000.00000000003"/>
    <n v="171666.66666666666"/>
    <n v="0.28155339805825252"/>
  </r>
  <r>
    <x v="2"/>
    <x v="6"/>
    <n v="1"/>
    <n v="250000"/>
    <n v="250000"/>
    <n v="0"/>
    <s v="هدف"/>
    <n v="78333.333333333343"/>
    <n v="171666.66666666666"/>
    <n v="0.45631067961165056"/>
  </r>
  <r>
    <x v="3"/>
    <x v="0"/>
    <n v="2"/>
    <n v="200000"/>
    <n v="400000"/>
    <n v="3"/>
    <s v="غیر هدف"/>
    <n v="50000"/>
    <n v="175000"/>
    <n v="0.14285714285714285"/>
  </r>
  <r>
    <x v="3"/>
    <x v="6"/>
    <n v="1"/>
    <n v="250000"/>
    <n v="250000"/>
    <n v="1"/>
    <s v="هدف"/>
    <n v="75000"/>
    <n v="175000"/>
    <n v="0.42857142857142855"/>
  </r>
  <r>
    <x v="4"/>
    <x v="0"/>
    <n v="1"/>
    <n v="250000"/>
    <n v="250000"/>
    <n v="1"/>
    <s v="هدف"/>
    <n v="60000"/>
    <n v="190000"/>
    <n v="0.31578947368421051"/>
  </r>
  <r>
    <x v="4"/>
    <x v="7"/>
    <n v="1"/>
    <n v="220000"/>
    <n v="220000"/>
    <n v="0"/>
    <s v="هدف"/>
    <n v="30000"/>
    <n v="190000"/>
    <n v="0.15789473684210525"/>
  </r>
  <r>
    <x v="5"/>
    <x v="5"/>
    <n v="2"/>
    <n v="450000"/>
    <n v="900000"/>
    <n v="2"/>
    <s v="هدف"/>
    <n v="320000"/>
    <n v="290000"/>
    <n v="0.55172413793103448"/>
  </r>
  <r>
    <x v="5"/>
    <x v="7"/>
    <n v="1"/>
    <n v="450000"/>
    <n v="450000"/>
    <n v="0"/>
    <s v="هدف"/>
    <n v="160000"/>
    <n v="290000"/>
    <n v="0.55172413793103448"/>
  </r>
  <r>
    <x v="8"/>
    <x v="1"/>
    <n v="2"/>
    <n v="400000"/>
    <n v="800000"/>
    <n v="2"/>
    <s v="هدف"/>
    <n v="173666.66666666663"/>
    <n v="313166.66666666669"/>
    <n v="0.27727514635444378"/>
  </r>
  <r>
    <x v="8"/>
    <x v="5"/>
    <n v="1"/>
    <n v="450000"/>
    <n v="450000"/>
    <n v="0"/>
    <s v="هدف"/>
    <n v="136833.33333333331"/>
    <n v="313166.66666666669"/>
    <n v="0.43693453964874923"/>
  </r>
  <r>
    <x v="6"/>
    <x v="1"/>
    <n v="2"/>
    <n v="480000"/>
    <n v="960000"/>
    <n v="2"/>
    <s v="هدف"/>
    <n v="360000"/>
    <n v="300000"/>
    <n v="0.6"/>
  </r>
  <r>
    <x v="6"/>
    <x v="5"/>
    <n v="2"/>
    <n v="450000"/>
    <n v="900000"/>
    <n v="1"/>
    <s v="هدف"/>
    <n v="300000"/>
    <n v="300000"/>
    <n v="0.5"/>
  </r>
  <r>
    <x v="6"/>
    <x v="9"/>
    <n v="1"/>
    <n v="480000"/>
    <n v="480000"/>
    <n v="0"/>
    <s v="هدف"/>
    <n v="180000"/>
    <n v="300000"/>
    <n v="0.6"/>
  </r>
  <r>
    <x v="9"/>
    <x v="1"/>
    <n v="2"/>
    <n v="600000"/>
    <n v="1200000"/>
    <n v="2"/>
    <s v="هدف"/>
    <n v="366666.66666666663"/>
    <n v="416666.66666666669"/>
    <n v="0.43999999999999995"/>
  </r>
  <r>
    <x v="9"/>
    <x v="5"/>
    <n v="1"/>
    <n v="700000"/>
    <n v="700000"/>
    <n v="0"/>
    <s v="هدف"/>
    <n v="283333.33333333331"/>
    <n v="416666.66666666669"/>
    <n v="0.67999999999999994"/>
  </r>
  <r>
    <x v="10"/>
    <x v="0"/>
    <n v="1"/>
    <n v="180000"/>
    <n v="180000"/>
    <n v="2"/>
    <s v="غیر هدف"/>
    <n v="35000"/>
    <n v="145000"/>
    <n v="0.2413793103448276"/>
  </r>
  <r>
    <x v="10"/>
    <x v="6"/>
    <n v="4"/>
    <n v="170000"/>
    <n v="680000"/>
    <n v="2"/>
    <s v="هدف"/>
    <n v="100000"/>
    <n v="145000"/>
    <n v="0.17241379310344829"/>
  </r>
  <r>
    <x v="10"/>
    <x v="7"/>
    <n v="1"/>
    <n v="180000"/>
    <n v="180000"/>
    <n v="0"/>
    <s v="هدف"/>
    <n v="35000"/>
    <n v="145000"/>
    <n v="0.2413793103448276"/>
  </r>
  <r>
    <x v="11"/>
    <x v="10"/>
    <m/>
    <m/>
    <m/>
    <m/>
    <m/>
    <m/>
    <m/>
    <m/>
  </r>
  <r>
    <x v="11"/>
    <x v="10"/>
    <m/>
    <m/>
    <m/>
    <m/>
    <m/>
    <m/>
    <s v="میانگین درصد سود کالای گپ"/>
    <n v="0.60518292682926833"/>
  </r>
  <r>
    <x v="11"/>
    <x v="10"/>
    <m/>
    <m/>
    <m/>
    <m/>
    <m/>
    <m/>
    <m/>
    <m/>
  </r>
  <r>
    <x v="11"/>
    <x v="10"/>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s v="گپ"/>
    <x v="0"/>
    <x v="0"/>
    <n v="2"/>
    <n v="290000"/>
    <n v="580000"/>
    <n v="4"/>
    <s v="غیر هدف"/>
    <n v="215555.55555555556"/>
    <n v="182222.22222222222"/>
    <n v="0.59146341463414642"/>
  </r>
  <r>
    <s v="کلاه بافت"/>
    <x v="0"/>
    <x v="0"/>
    <n v="1"/>
    <n v="55000"/>
    <n v="55000"/>
    <n v="0"/>
    <s v="هدف"/>
    <n v="17777.777777777781"/>
    <n v="37222.222222222219"/>
    <n v="0.47761194029850756"/>
  </r>
  <r>
    <s v="بافت بدون آستین"/>
    <x v="0"/>
    <x v="0"/>
    <n v="2"/>
    <n v="240000"/>
    <n v="480000"/>
    <n v="5"/>
    <s v="غیر هدف"/>
    <n v="136666.66666666669"/>
    <n v="171666.66666666666"/>
    <n v="0.39805825242718457"/>
  </r>
  <r>
    <s v="کراپ"/>
    <x v="1"/>
    <x v="1"/>
    <n v="3"/>
    <n v="230000"/>
    <n v="690000"/>
    <n v="2"/>
    <s v="هدف"/>
    <n v="165000"/>
    <n v="175000"/>
    <n v="0.31428571428571428"/>
  </r>
  <r>
    <s v="لانگ"/>
    <x v="1"/>
    <x v="1"/>
    <n v="2"/>
    <n v="250000"/>
    <n v="500000"/>
    <n v="3"/>
    <s v="غیر هدف"/>
    <n v="120000"/>
    <n v="190000"/>
    <n v="0.31578947368421051"/>
  </r>
  <r>
    <s v="مانتو مشکی"/>
    <x v="2"/>
    <x v="2"/>
    <n v="1"/>
    <n v="420000"/>
    <n v="420000"/>
    <n v="2"/>
    <s v="غیر هدف"/>
    <n v="130000"/>
    <n v="290000"/>
    <n v="0.44827586206896552"/>
  </r>
  <r>
    <s v="بلوز زنانه"/>
    <x v="2"/>
    <x v="2"/>
    <n v="1"/>
    <n v="480000"/>
    <n v="480000"/>
    <n v="3"/>
    <s v="غیر هدف"/>
    <n v="180000"/>
    <n v="300000"/>
    <n v="0.6"/>
  </r>
  <r>
    <s v="تیشرت مشکی"/>
    <x v="1"/>
    <x v="1"/>
    <n v="6"/>
    <n v="300000"/>
    <n v="1800000"/>
    <n v="3"/>
    <s v="هدف"/>
    <n v="540000"/>
    <n v="210000"/>
    <n v="0.42857142857142855"/>
  </r>
  <r>
    <s v=" بلوزآستین فرشته"/>
    <x v="3"/>
    <x v="3"/>
    <n v="3"/>
    <n v="450000"/>
    <n v="1350000"/>
    <n v="4"/>
    <s v="غیر هدف"/>
    <n v="410499.99999999994"/>
    <n v="313166.66666666669"/>
    <n v="0.43693453964874923"/>
  </r>
  <r>
    <s v="شومیز"/>
    <x v="3"/>
    <x v="3"/>
    <n v="1"/>
    <n v="650000"/>
    <n v="650000"/>
    <n v="2"/>
    <s v="غیر هدف"/>
    <n v="225000"/>
    <n v="425000"/>
    <n v="0.52941176470588236"/>
  </r>
  <r>
    <s v="شلوار زنانه کریشه"/>
    <x v="1"/>
    <x v="1"/>
    <n v="3"/>
    <n v="180000"/>
    <n v="540000"/>
    <n v="5"/>
    <s v="غیر هدف"/>
    <n v="105000"/>
    <n v="145000"/>
    <n v="0.2413793103448276"/>
  </r>
  <r>
    <s v="گپ"/>
    <x v="4"/>
    <x v="4"/>
    <n v="2"/>
    <n v="300000"/>
    <n v="600000"/>
    <n v="2"/>
    <s v="هدف"/>
    <n v="235555.55555555556"/>
    <n v="182222.22222222222"/>
    <n v="0.64634146341463417"/>
  </r>
  <r>
    <s v="گپ"/>
    <x v="5"/>
    <x v="5"/>
    <n v="1"/>
    <n v="280000"/>
    <n v="280000"/>
    <n v="0"/>
    <s v="هدف"/>
    <n v="97777.777777777781"/>
    <n v="182222.22222222222"/>
    <n v="0.53658536585365857"/>
  </r>
  <r>
    <s v="گپ"/>
    <x v="6"/>
    <x v="6"/>
    <n v="1"/>
    <n v="300000"/>
    <n v="300000"/>
    <n v="0"/>
    <s v="هدف"/>
    <n v="117777.77777777778"/>
    <n v="182222.22222222222"/>
    <n v="0.64634146341463417"/>
  </r>
  <r>
    <s v="کلاه بافت"/>
    <x v="4"/>
    <x v="4"/>
    <n v="3"/>
    <n v="50000"/>
    <n v="150000"/>
    <n v="3"/>
    <s v="هدف"/>
    <n v="38333.333333333343"/>
    <n v="37222.222222222219"/>
    <n v="0.34328358208955234"/>
  </r>
  <r>
    <s v="کلاه بافت"/>
    <x v="5"/>
    <x v="5"/>
    <n v="3"/>
    <n v="55000"/>
    <n v="165000"/>
    <n v="5"/>
    <s v="غیر هدف"/>
    <n v="53333.333333333343"/>
    <n v="37222.222222222219"/>
    <n v="0.47761194029850756"/>
  </r>
  <r>
    <s v="کلاه بافت"/>
    <x v="6"/>
    <x v="6"/>
    <n v="4"/>
    <n v="60000"/>
    <n v="240000"/>
    <n v="3"/>
    <s v="هدف"/>
    <n v="91111.111111111124"/>
    <n v="37222.222222222219"/>
    <n v="0.61194029850746279"/>
  </r>
  <r>
    <s v="کلاه بافت"/>
    <x v="7"/>
    <x v="7"/>
    <n v="1"/>
    <n v="55000"/>
    <n v="55000"/>
    <n v="1"/>
    <s v="هدف"/>
    <n v="17777.777777777781"/>
    <n v="37222.222222222219"/>
    <n v="0.47761194029850756"/>
  </r>
  <r>
    <s v="بافت بدون آستین"/>
    <x v="4"/>
    <x v="4"/>
    <n v="3"/>
    <n v="220000"/>
    <n v="660000"/>
    <n v="1"/>
    <s v="هدف"/>
    <n v="145000.00000000003"/>
    <n v="171666.66666666666"/>
    <n v="0.28155339805825252"/>
  </r>
  <r>
    <s v="بافت بدون آستین"/>
    <x v="5"/>
    <x v="5"/>
    <n v="1"/>
    <n v="250000"/>
    <n v="250000"/>
    <n v="0"/>
    <s v="هدف"/>
    <n v="78333.333333333343"/>
    <n v="171666.66666666666"/>
    <n v="0.45631067961165056"/>
  </r>
  <r>
    <s v="کراپ"/>
    <x v="0"/>
    <x v="0"/>
    <n v="2"/>
    <n v="200000"/>
    <n v="400000"/>
    <n v="3"/>
    <s v="غیر هدف"/>
    <n v="50000"/>
    <n v="175000"/>
    <n v="0.14285714285714285"/>
  </r>
  <r>
    <s v="کراپ"/>
    <x v="5"/>
    <x v="5"/>
    <n v="1"/>
    <n v="250000"/>
    <n v="250000"/>
    <n v="1"/>
    <s v="هدف"/>
    <n v="75000"/>
    <n v="175000"/>
    <n v="0.42857142857142855"/>
  </r>
  <r>
    <s v="لانگ"/>
    <x v="0"/>
    <x v="0"/>
    <n v="1"/>
    <n v="250000"/>
    <n v="250000"/>
    <n v="1"/>
    <s v="هدف"/>
    <n v="60000"/>
    <n v="190000"/>
    <n v="0.31578947368421051"/>
  </r>
  <r>
    <s v="لانگ"/>
    <x v="6"/>
    <x v="6"/>
    <n v="1"/>
    <n v="220000"/>
    <n v="220000"/>
    <n v="0"/>
    <s v="هدف"/>
    <n v="30000"/>
    <n v="190000"/>
    <n v="0.15789473684210525"/>
  </r>
  <r>
    <s v="مانتو مشکی"/>
    <x v="4"/>
    <x v="4"/>
    <n v="2"/>
    <n v="450000"/>
    <n v="900000"/>
    <n v="2"/>
    <s v="هدف"/>
    <n v="320000"/>
    <n v="290000"/>
    <n v="0.55172413793103448"/>
  </r>
  <r>
    <s v="مانتو مشکی"/>
    <x v="6"/>
    <x v="6"/>
    <n v="1"/>
    <n v="450000"/>
    <n v="450000"/>
    <n v="0"/>
    <s v="هدف"/>
    <n v="160000"/>
    <n v="290000"/>
    <n v="0.55172413793103448"/>
  </r>
  <r>
    <s v=" بلوزآستین فرشته"/>
    <x v="1"/>
    <x v="1"/>
    <n v="2"/>
    <n v="400000"/>
    <n v="800000"/>
    <n v="2"/>
    <s v="هدف"/>
    <n v="173666.66666666663"/>
    <n v="313166.66666666669"/>
    <n v="0.27727514635444378"/>
  </r>
  <r>
    <s v=" بلوزآستین فرشته"/>
    <x v="4"/>
    <x v="4"/>
    <n v="1"/>
    <n v="450000"/>
    <n v="450000"/>
    <n v="0"/>
    <s v="هدف"/>
    <n v="136833.33333333331"/>
    <n v="313166.66666666669"/>
    <n v="0.43693453964874923"/>
  </r>
  <r>
    <s v="بلوز زنانه"/>
    <x v="1"/>
    <x v="1"/>
    <n v="1"/>
    <n v="480000"/>
    <n v="480000"/>
    <n v="2"/>
    <s v="غیر هدف"/>
    <n v="180000"/>
    <n v="300000"/>
    <n v="0.6"/>
  </r>
  <r>
    <s v="بلوز زنانه"/>
    <x v="4"/>
    <x v="4"/>
    <n v="2"/>
    <n v="450000"/>
    <n v="900000"/>
    <n v="1"/>
    <s v="هدف"/>
    <n v="300000"/>
    <n v="300000"/>
    <n v="0.5"/>
  </r>
  <r>
    <s v="بلوز زنانه"/>
    <x v="8"/>
    <x v="8"/>
    <n v="1"/>
    <n v="480000"/>
    <n v="480000"/>
    <n v="0"/>
    <s v="هدف"/>
    <n v="180000"/>
    <n v="300000"/>
    <n v="0.6"/>
  </r>
  <r>
    <s v="شومیز"/>
    <x v="1"/>
    <x v="1"/>
    <n v="2"/>
    <n v="600000"/>
    <n v="1200000"/>
    <n v="2"/>
    <s v="هدف"/>
    <n v="350000"/>
    <n v="425000"/>
    <n v="0.41176470588235292"/>
  </r>
  <r>
    <s v="شومیز"/>
    <x v="4"/>
    <x v="4"/>
    <n v="1"/>
    <n v="700000"/>
    <n v="700000"/>
    <n v="0"/>
    <s v="هدف"/>
    <n v="275000"/>
    <n v="425000"/>
    <n v="0.6470588235294118"/>
  </r>
  <r>
    <s v="شلوار زنانه کریشه"/>
    <x v="0"/>
    <x v="0"/>
    <n v="1"/>
    <n v="180000"/>
    <n v="180000"/>
    <n v="2"/>
    <s v="غیر هدف"/>
    <n v="35000"/>
    <n v="145000"/>
    <n v="0.2413793103448276"/>
  </r>
  <r>
    <s v="شلوار زنانه کریشه"/>
    <x v="5"/>
    <x v="5"/>
    <n v="4"/>
    <n v="170000"/>
    <n v="680000"/>
    <n v="2"/>
    <s v="هدف"/>
    <n v="100000"/>
    <n v="145000"/>
    <n v="0.17241379310344829"/>
  </r>
  <r>
    <s v="شلوار زنانه کریشه"/>
    <x v="6"/>
    <x v="6"/>
    <n v="1"/>
    <n v="180000"/>
    <n v="180000"/>
    <n v="0"/>
    <s v="هدف"/>
    <n v="35000"/>
    <n v="145000"/>
    <n v="0.241379310344827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5" indent="0" compact="0" compactData="0" multipleFieldFilters="0" chartFormat="2">
  <location ref="A48:C66" firstHeaderRow="1" firstDataRow="1" firstDataCol="2"/>
  <pivotFields count="11">
    <pivotField compact="0" outline="0" showAll="0">
      <extLst>
        <ext xmlns:x14="http://schemas.microsoft.com/office/spreadsheetml/2009/9/main" uri="{2946ED86-A175-432a-8AC1-64E0C546D7DE}">
          <x14:pivotField fillDownLabels="1"/>
        </ext>
      </extLst>
    </pivotField>
    <pivotField axis="axisRow" compact="0" outline="0" showAll="0">
      <items count="10">
        <item x="4"/>
        <item x="5"/>
        <item x="8"/>
        <item x="7"/>
        <item x="2"/>
        <item x="6"/>
        <item x="1"/>
        <item x="3"/>
        <item x="0"/>
        <item t="default"/>
      </items>
      <extLst>
        <ext xmlns:x14="http://schemas.microsoft.com/office/spreadsheetml/2009/9/main" uri="{2946ED86-A175-432a-8AC1-64E0C546D7DE}">
          <x14:pivotField fillDownLabels="1"/>
        </ext>
      </extLst>
    </pivotField>
    <pivotField axis="axisRow" compact="0" outline="0" showAll="0">
      <items count="10">
        <item x="2"/>
        <item x="3"/>
        <item x="1"/>
        <item x="0"/>
        <item x="4"/>
        <item x="5"/>
        <item x="6"/>
        <item x="7"/>
        <item x="8"/>
        <item t="default"/>
      </items>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s>
  <rowFields count="2">
    <field x="2"/>
    <field x="1"/>
  </rowFields>
  <rowItems count="18">
    <i>
      <x/>
      <x v="4"/>
    </i>
    <i t="default">
      <x/>
    </i>
    <i>
      <x v="1"/>
      <x v="7"/>
    </i>
    <i t="default">
      <x v="1"/>
    </i>
    <i>
      <x v="2"/>
      <x v="6"/>
    </i>
    <i t="default">
      <x v="2"/>
    </i>
    <i>
      <x v="3"/>
      <x v="8"/>
    </i>
    <i t="default">
      <x v="3"/>
    </i>
    <i>
      <x v="4"/>
      <x/>
    </i>
    <i t="default">
      <x v="4"/>
    </i>
    <i>
      <x v="5"/>
      <x v="1"/>
    </i>
    <i t="default">
      <x v="5"/>
    </i>
    <i>
      <x v="6"/>
      <x v="5"/>
    </i>
    <i t="default">
      <x v="6"/>
    </i>
    <i>
      <x v="7"/>
      <x v="3"/>
    </i>
    <i t="default">
      <x v="7"/>
    </i>
    <i>
      <x v="8"/>
      <x v="2"/>
    </i>
    <i t="default">
      <x v="8"/>
    </i>
  </rowItems>
  <colItems count="1">
    <i/>
  </colItems>
  <dataFields count="1">
    <dataField name="Sum_of _Sold_Quantity" fld="3" baseField="1" baseItem="4"/>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1" cacheId="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 rowHeaderCaption="Product_Name">
  <location ref="A21:D33" firstHeaderRow="0" firstDataRow="1" firstDataCol="1"/>
  <pivotFields count="10">
    <pivotField axis="axisRow" showAll="0" sortType="descending">
      <items count="13">
        <item x="8"/>
        <item x="2"/>
        <item x="6"/>
        <item x="7"/>
        <item x="10"/>
        <item x="9"/>
        <item x="3"/>
        <item x="1"/>
        <item x="0"/>
        <item x="4"/>
        <item x="5"/>
        <item h="1" x="11"/>
        <item t="default"/>
      </items>
      <autoSortScope>
        <pivotArea dataOnly="0" outline="0" fieldPosition="0">
          <references count="1">
            <reference field="4294967294" count="1" selected="0">
              <x v="2"/>
            </reference>
          </references>
        </pivotArea>
      </autoSortScope>
    </pivotField>
    <pivotField showAll="0">
      <items count="12">
        <item x="5"/>
        <item x="6"/>
        <item x="9"/>
        <item x="8"/>
        <item x="3"/>
        <item x="7"/>
        <item x="1"/>
        <item x="2"/>
        <item x="4"/>
        <item x="0"/>
        <item x="10"/>
        <item t="default"/>
      </items>
    </pivotField>
    <pivotField showAll="0"/>
    <pivotField showAll="0"/>
    <pivotField dataField="1" showAll="0"/>
    <pivotField showAll="0"/>
    <pivotField showAll="0"/>
    <pivotField dataField="1" showAll="0"/>
    <pivotField showAll="0"/>
    <pivotField dataField="1" showAll="0"/>
  </pivotFields>
  <rowFields count="1">
    <field x="0"/>
  </rowFields>
  <rowItems count="12">
    <i>
      <x v="8"/>
    </i>
    <i>
      <x v="2"/>
    </i>
    <i>
      <x v="5"/>
    </i>
    <i>
      <x v="10"/>
    </i>
    <i>
      <x v="7"/>
    </i>
    <i>
      <x v="3"/>
    </i>
    <i>
      <x/>
    </i>
    <i>
      <x v="1"/>
    </i>
    <i>
      <x v="6"/>
    </i>
    <i>
      <x v="9"/>
    </i>
    <i>
      <x v="4"/>
    </i>
    <i t="grand">
      <x/>
    </i>
  </rowItems>
  <colFields count="1">
    <field x="-2"/>
  </colFields>
  <colItems count="3">
    <i>
      <x/>
    </i>
    <i i="1">
      <x v="1"/>
    </i>
    <i i="2">
      <x v="2"/>
    </i>
  </colItems>
  <dataFields count="3">
    <dataField name="Sum_of_Total_Sales" fld="4" baseField="0" baseItem="8" numFmtId="3"/>
    <dataField name="Average_of_Actual_Profit" fld="7" subtotal="average" baseField="0" baseItem="8" numFmtId="3"/>
    <dataField name="Average_of_Profit_Percentage" fld="9" subtotal="average" baseField="0" baseItem="8" numFmtId="10"/>
  </dataFields>
  <formats count="19">
    <format dxfId="71">
      <pivotArea outline="0" collapsedLevelsAreSubtotals="1" fieldPosition="0">
        <references count="1">
          <reference field="4294967294" count="1" selected="0">
            <x v="0"/>
          </reference>
        </references>
      </pivotArea>
    </format>
    <format dxfId="70">
      <pivotArea dataOnly="0" labelOnly="1" outline="0" fieldPosition="0">
        <references count="1">
          <reference field="4294967294" count="1">
            <x v="0"/>
          </reference>
        </references>
      </pivotArea>
    </format>
    <format dxfId="69">
      <pivotArea outline="0" collapsedLevelsAreSubtotals="1" fieldPosition="0">
        <references count="1">
          <reference field="4294967294" count="1" selected="0">
            <x v="1"/>
          </reference>
        </references>
      </pivotArea>
    </format>
    <format dxfId="68">
      <pivotArea dataOnly="0" labelOnly="1" outline="0" fieldPosition="0">
        <references count="1">
          <reference field="4294967294" count="1">
            <x v="1"/>
          </reference>
        </references>
      </pivotArea>
    </format>
    <format dxfId="67">
      <pivotArea outline="0" collapsedLevelsAreSubtotals="1" fieldPosition="0">
        <references count="1">
          <reference field="4294967294" count="1" selected="0">
            <x v="2"/>
          </reference>
        </references>
      </pivotArea>
    </format>
    <format dxfId="66">
      <pivotArea dataOnly="0" labelOnly="1" outline="0" fieldPosition="0">
        <references count="1">
          <reference field="4294967294" count="1">
            <x v="2"/>
          </reference>
        </references>
      </pivotArea>
    </format>
    <format dxfId="65">
      <pivotArea outline="0" collapsedLevelsAreSubtotals="1" fieldPosition="0">
        <references count="1">
          <reference field="4294967294" count="1" selected="0">
            <x v="2"/>
          </reference>
        </references>
      </pivotArea>
    </format>
    <format dxfId="64">
      <pivotArea dataOnly="0" labelOnly="1" outline="0" fieldPosition="0">
        <references count="1">
          <reference field="4294967294" count="1">
            <x v="2"/>
          </reference>
        </references>
      </pivotArea>
    </format>
    <format dxfId="63">
      <pivotArea outline="0" collapsedLevelsAreSubtotals="1" fieldPosition="0">
        <references count="1">
          <reference field="4294967294" count="1" selected="0">
            <x v="1"/>
          </reference>
        </references>
      </pivotArea>
    </format>
    <format dxfId="62">
      <pivotArea dataOnly="0" labelOnly="1" outline="0" fieldPosition="0">
        <references count="1">
          <reference field="4294967294" count="1">
            <x v="1"/>
          </reference>
        </references>
      </pivotArea>
    </format>
    <format dxfId="61">
      <pivotArea outline="0" collapsedLevelsAreSubtotals="1" fieldPosition="0">
        <references count="1">
          <reference field="4294967294" count="1" selected="0">
            <x v="0"/>
          </reference>
        </references>
      </pivotArea>
    </format>
    <format dxfId="60">
      <pivotArea dataOnly="0" labelOnly="1" outline="0" fieldPosition="0">
        <references count="1">
          <reference field="4294967294" count="1">
            <x v="0"/>
          </reference>
        </references>
      </pivotArea>
    </format>
    <format dxfId="59">
      <pivotArea field="0" type="button" dataOnly="0" labelOnly="1" outline="0" axis="axisRow" fieldPosition="0"/>
    </format>
    <format dxfId="58">
      <pivotArea dataOnly="0" labelOnly="1" fieldPosition="0">
        <references count="1">
          <reference field="0" count="0"/>
        </references>
      </pivotArea>
    </format>
    <format dxfId="57">
      <pivotArea dataOnly="0" labelOnly="1" grandRow="1" outline="0" fieldPosition="0"/>
    </format>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4294967294" count="1">
            <x v="0"/>
          </reference>
        </references>
      </pivotArea>
    </format>
  </formats>
  <conditionalFormats count="4">
    <conditionalFormat priority="4">
      <pivotAreas count="1">
        <pivotArea type="data" collapsedLevelsAreSubtotals="1" fieldPosition="0">
          <references count="2">
            <reference field="4294967294" count="1" selected="0">
              <x v="2"/>
            </reference>
            <reference field="0" count="11">
              <x v="0"/>
              <x v="1"/>
              <x v="2"/>
              <x v="3"/>
              <x v="4"/>
              <x v="5"/>
              <x v="6"/>
              <x v="7"/>
              <x v="8"/>
              <x v="9"/>
              <x v="10"/>
            </reference>
          </references>
        </pivotArea>
      </pivotAreas>
    </conditionalFormat>
    <conditionalFormat priority="3">
      <pivotAreas count="1">
        <pivotArea type="data" collapsedLevelsAreSubtotals="1" fieldPosition="0">
          <references count="2">
            <reference field="4294967294" count="1" selected="0">
              <x v="2"/>
            </reference>
            <reference field="0" count="11">
              <x v="0"/>
              <x v="1"/>
              <x v="2"/>
              <x v="3"/>
              <x v="4"/>
              <x v="5"/>
              <x v="6"/>
              <x v="7"/>
              <x v="8"/>
              <x v="9"/>
              <x v="10"/>
            </reference>
          </references>
        </pivotArea>
      </pivotAreas>
    </conditionalFormat>
    <conditionalFormat priority="2">
      <pivotAreas count="1">
        <pivotArea type="data" collapsedLevelsAreSubtotals="1" fieldPosition="0">
          <references count="2">
            <reference field="4294967294" count="1" selected="0">
              <x v="2"/>
            </reference>
            <reference field="0" count="11">
              <x v="0"/>
              <x v="1"/>
              <x v="2"/>
              <x v="3"/>
              <x v="4"/>
              <x v="5"/>
              <x v="6"/>
              <x v="7"/>
              <x v="8"/>
              <x v="9"/>
              <x v="10"/>
            </reference>
          </references>
        </pivotArea>
      </pivotAreas>
    </conditionalFormat>
    <conditionalFormat priority="1">
      <pivotAreas count="1">
        <pivotArea type="data" collapsedLevelsAreSubtotals="1" fieldPosition="0">
          <references count="2">
            <reference field="4294967294" count="1" selected="0">
              <x v="2"/>
            </reference>
            <reference field="0" count="11">
              <x v="0"/>
              <x v="1"/>
              <x v="2"/>
              <x v="3"/>
              <x v="4"/>
              <x v="5"/>
              <x v="6"/>
              <x v="7"/>
              <x v="8"/>
              <x v="9"/>
              <x v="10"/>
            </reference>
          </references>
        </pivotArea>
      </pivotAreas>
    </conditionalFormat>
  </conditional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اه_فروش" xr10:uid="{00000000-0013-0000-FFFF-FFFF02000000}" sourceName="ماه_فروش">
  <pivotTables>
    <pivotTable tabId="9" name="PivotTable1"/>
  </pivotTables>
  <data>
    <tabular pivotCacheId="1">
      <items count="11">
        <i x="5" s="1"/>
        <i x="6" s="1"/>
        <i x="9" s="1"/>
        <i x="8" s="1"/>
        <i x="3" s="1"/>
        <i x="7" s="1"/>
        <i x="1" s="1"/>
        <i x="2" s="1"/>
        <i x="4" s="1"/>
        <i x="0" s="1"/>
        <i x="1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نام_کالا" xr10:uid="{00000000-0013-0000-FFFF-FFFF01000000}" sourceName="نام_کالا">
  <pivotTables>
    <pivotTable tabId="9" name="PivotTable1"/>
  </pivotTables>
  <data>
    <tabular pivotCacheId="1">
      <items count="12">
        <i x="8" s="1"/>
        <i x="2" s="1"/>
        <i x="6" s="1"/>
        <i x="7" s="1"/>
        <i x="10" s="1"/>
        <i x="9" s="1"/>
        <i x="3" s="1"/>
        <i x="1" s="1"/>
        <i x="0" s="1"/>
        <i x="4" s="1"/>
        <i x="5" s="1"/>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اه_فروش" xr10:uid="{00000000-0014-0000-FFFF-FFFF02000000}" cache="Slicer_ماه_فروش" caption="Sales_Month" startItem="3" rowHeight="241300"/>
  <slicer name="Product_Name" xr10:uid="{00000000-0014-0000-FFFF-FFFF01000000}" cache="Slicer_نام_کالا" caption="Product_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P12" totalsRowShown="0" headerRowDxfId="90">
  <autoFilter ref="A1:P12" xr:uid="{00000000-0009-0000-0100-000001000000}"/>
  <tableColumns count="16">
    <tableColumn id="1" xr3:uid="{00000000-0010-0000-0000-000001000000}" name="Date" dataDxfId="89"/>
    <tableColumn id="2" xr3:uid="{00000000-0010-0000-0000-000002000000}" name="Product_Name" dataDxfId="88"/>
    <tableColumn id="3" xr3:uid="{00000000-0010-0000-0000-000003000000}" name="Quantity" dataDxfId="87"/>
    <tableColumn id="4" xr3:uid="{00000000-0010-0000-0000-000004000000}" name="Purchase_Unit_Price" dataDxfId="86"/>
    <tableColumn id="5" xr3:uid="{00000000-0010-0000-0000-000005000000}" name="Shipping_Unit_Cost" dataDxfId="85">
      <calculatedColumnFormula>Table1[[#This Row],[Total_Shipping_Cost]]/6</calculatedColumnFormula>
    </tableColumn>
    <tableColumn id="6" xr3:uid="{00000000-0010-0000-0000-000006000000}" name="Total_Shipping_Cost" dataDxfId="84"/>
    <tableColumn id="14" xr3:uid="{00000000-0010-0000-0000-00000E000000}" name="Total_Purchase_Unit_Price" dataDxfId="83">
      <calculatedColumnFormula>Table1[[#This Row],[Shipping_Unit_Cost]]+Table1[[#This Row],[Purchase_Unit_Price]]</calculatedColumnFormula>
    </tableColumn>
    <tableColumn id="7" xr3:uid="{00000000-0010-0000-0000-000007000000}" name="Total_Purchase_Price" dataDxfId="82">
      <calculatedColumnFormula>(Table1[[#This Row],[Purchase_Unit_Price]]*Table1[[#This Row],[Quantity]])+(Table1[[#This Row],[Shipping_Unit_Cost]]*Table1[[#This Row],[Quantity]])</calculatedColumnFormula>
    </tableColumn>
    <tableColumn id="8" xr3:uid="{00000000-0010-0000-0000-000008000000}" name="Purchase_Month" dataDxfId="81"/>
    <tableColumn id="9" xr3:uid="{00000000-0010-0000-0000-000009000000}" name="Target_Sales_Unit_Price" dataDxfId="80"/>
    <tableColumn id="10" xr3:uid="{00000000-0010-0000-0000-00000A000000}" name="Total_Sales_Price" dataDxfId="79">
      <calculatedColumnFormula>Table1[[#This Row],[Target_Sales_Unit_Price]]*Table1[[#This Row],[Quantity]]</calculatedColumnFormula>
    </tableColumn>
    <tableColumn id="11" xr3:uid="{00000000-0010-0000-0000-00000B000000}" name="Color"/>
    <tableColumn id="12" xr3:uid="{00000000-0010-0000-0000-00000C000000}" name="Planned_Profit" dataDxfId="78">
      <calculatedColumnFormula>Table1[[#This Row],[Total_Sales_Price]]-Table1[[#This Row],[Total_Purchase_Price]]</calculatedColumnFormula>
    </tableColumn>
    <tableColumn id="13" xr3:uid="{00000000-0010-0000-0000-00000D000000}" name="Planned_Profit_Percentage" dataDxfId="77">
      <calculatedColumnFormula>Table1[[#This Row],[Planned_Profit]]/Table1[[#This Row],[Total_Purchase_Price]]</calculatedColumnFormula>
    </tableColumn>
    <tableColumn id="15" xr3:uid="{00000000-0010-0000-0000-00000F000000}" name="Column1"/>
    <tableColumn id="16" xr3:uid="{00000000-0010-0000-0000-000010000000}" name="Gregorian_Date" dataDxfId="76"/>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K37" totalsRowShown="0" headerRowDxfId="50" dataDxfId="49">
  <autoFilter ref="A1:K37" xr:uid="{00000000-0009-0000-0100-000002000000}"/>
  <tableColumns count="11">
    <tableColumn id="1" xr3:uid="{00000000-0010-0000-0100-000001000000}" name="Product_Name" dataDxfId="48"/>
    <tableColumn id="2" xr3:uid="{00000000-0010-0000-0100-000002000000}" name="Sales_Month" dataDxfId="47"/>
    <tableColumn id="12" xr3:uid="{00000000-0010-0000-0100-00000C000000}" name="Month_Order" dataDxfId="46"/>
    <tableColumn id="3" xr3:uid="{00000000-0010-0000-0100-000003000000}" name="Sold_Quantity" dataDxfId="45"/>
    <tableColumn id="4" xr3:uid="{00000000-0010-0000-0100-000004000000}" name="Actual_Sale_Price" dataDxfId="44"/>
    <tableColumn id="5" xr3:uid="{00000000-0010-0000-0100-000005000000}" name="Total_Sales" dataDxfId="43">
      <calculatedColumnFormula>Table2[[#This Row],[Actual_Sale_Price]]*Table2[[#This Row],[Sold_Quantity]]</calculatedColumnFormula>
    </tableColumn>
    <tableColumn id="6" xr3:uid="{00000000-0010-0000-0100-000006000000}" name="Monthly_Sales_Target" dataDxfId="42"/>
    <tableColumn id="7" xr3:uid="{00000000-0010-0000-0100-000007000000}" name="Sales_Status" dataDxfId="41">
      <calculatedColumnFormula>IF(Table2[[#This Row],[Sold_Quantity]]&gt;=Table2[[#This Row],[Monthly_Sales_Target]], "هدف", "غیر هدف")</calculatedColumnFormula>
    </tableColumn>
    <tableColumn id="8" xr3:uid="{00000000-0010-0000-0100-000008000000}" name="Actual_Profit" dataDxfId="40">
      <calculatedColumnFormula>(Table2[[#This Row],[Actual_Sale_Price]] - Table2[[#This Row],[Total_Unit_Cost]]) * Table2[[#This Row],[Sold_Quantity]]</calculatedColumnFormula>
    </tableColumn>
    <tableColumn id="9" xr3:uid="{00000000-0010-0000-0100-000009000000}" name="Total_Unit_Cost" dataDxfId="39">
      <calculatedColumnFormula>IFERROR(INDEX(Table1[Total_Purchase_Unit_Price], MATCH(Table2[[#This Row],[Product_Name]], Table1[Product_Name], 0)), 0)</calculatedColumnFormula>
    </tableColumn>
    <tableColumn id="10" xr3:uid="{00000000-0010-0000-0100-00000A000000}" name="Actual_Profit_Percentage" dataDxfId="38">
      <calculatedColumnFormula>IFERROR((Table2[[#This Row],[Actual_Sale_Price]] - Table2[[#This Row],[Total_Unit_Cost]]) / Table2[[#This Row],[Total_Unit_Cost]], 0)</calculatedColumnFormula>
    </tableColumn>
  </tableColumns>
  <tableStyleInfo name="TableStyleLight1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github.com/hani-dat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6"/>
  <sheetViews>
    <sheetView showGridLines="0" rightToLeft="1" tabSelected="1" topLeftCell="H1" workbookViewId="0">
      <pane ySplit="1" topLeftCell="A2" activePane="bottomLeft" state="frozen"/>
      <selection activeCell="B1" sqref="B1"/>
      <selection pane="bottomLeft" activeCell="J2" sqref="J2"/>
    </sheetView>
  </sheetViews>
  <sheetFormatPr defaultRowHeight="15" x14ac:dyDescent="0.25"/>
  <cols>
    <col min="1" max="1" width="12.42578125" style="10" customWidth="1"/>
    <col min="2" max="2" width="19.5703125" style="1" customWidth="1"/>
    <col min="3" max="3" width="13.5703125" style="2" customWidth="1"/>
    <col min="4" max="4" width="24.140625" style="1" bestFit="1" customWidth="1"/>
    <col min="5" max="5" width="22.140625" style="2" customWidth="1"/>
    <col min="6" max="6" width="23.28515625" style="2" customWidth="1"/>
    <col min="7" max="7" width="29.42578125" style="2" customWidth="1"/>
    <col min="8" max="8" width="24.42578125" style="2" customWidth="1"/>
    <col min="9" max="9" width="19.28515625" style="1" customWidth="1"/>
    <col min="10" max="10" width="26.7109375" style="1" customWidth="1"/>
    <col min="11" max="11" width="20" style="2" customWidth="1"/>
    <col min="12" max="12" width="12" customWidth="1"/>
    <col min="13" max="13" width="18.28515625" style="2" customWidth="1"/>
    <col min="14" max="14" width="29" style="8" customWidth="1"/>
    <col min="15" max="15" width="4.140625" customWidth="1"/>
    <col min="16" max="16" width="20.28515625" style="7" customWidth="1"/>
  </cols>
  <sheetData>
    <row r="1" spans="1:16" x14ac:dyDescent="0.25">
      <c r="A1" s="9" t="s">
        <v>44</v>
      </c>
      <c r="B1" s="1" t="s">
        <v>45</v>
      </c>
      <c r="C1" s="2" t="s">
        <v>46</v>
      </c>
      <c r="D1" s="1" t="s">
        <v>47</v>
      </c>
      <c r="E1" s="2" t="s">
        <v>48</v>
      </c>
      <c r="F1" s="2" t="s">
        <v>49</v>
      </c>
      <c r="G1" s="2" t="s">
        <v>50</v>
      </c>
      <c r="H1" s="2" t="s">
        <v>51</v>
      </c>
      <c r="I1" s="1" t="s">
        <v>52</v>
      </c>
      <c r="J1" s="1" t="s">
        <v>89</v>
      </c>
      <c r="K1" s="2" t="s">
        <v>68</v>
      </c>
      <c r="L1" s="1" t="s">
        <v>53</v>
      </c>
      <c r="M1" s="2" t="s">
        <v>81</v>
      </c>
      <c r="N1" s="8" t="s">
        <v>83</v>
      </c>
      <c r="O1" s="1" t="s">
        <v>67</v>
      </c>
      <c r="P1" s="7" t="s">
        <v>66</v>
      </c>
    </row>
    <row r="2" spans="1:16" x14ac:dyDescent="0.25">
      <c r="A2" s="10" t="s">
        <v>5</v>
      </c>
      <c r="B2" s="1" t="s">
        <v>0</v>
      </c>
      <c r="C2" s="2">
        <v>6</v>
      </c>
      <c r="D2" s="2">
        <v>175000</v>
      </c>
      <c r="E2" s="2">
        <f>Table1[[#This Row],[Total_Shipping_Cost]]/18</f>
        <v>7222.2222222222226</v>
      </c>
      <c r="F2" s="2">
        <v>130000</v>
      </c>
      <c r="G2" s="2">
        <f>Table1[[#This Row],[Shipping_Unit_Cost]]+Table1[[#This Row],[Purchase_Unit_Price]]</f>
        <v>182222.22222222222</v>
      </c>
      <c r="H2" s="2">
        <f>(Table1[[#This Row],[Purchase_Unit_Price]]*Table1[[#This Row],[Quantity]])+(Table1[[#This Row],[Shipping_Unit_Cost]]*Table1[[#This Row],[Quantity]])</f>
        <v>1093333.3333333333</v>
      </c>
      <c r="I2" s="1" t="s">
        <v>2</v>
      </c>
      <c r="J2" s="2">
        <v>300000</v>
      </c>
      <c r="K2" s="2">
        <f>Table1[[#This Row],[Target_Sales_Unit_Price]]*Table1[[#This Row],[Quantity]]</f>
        <v>1800000</v>
      </c>
      <c r="L2" t="s">
        <v>1</v>
      </c>
      <c r="M2" s="2">
        <f>Table1[[#This Row],[Total_Sales_Price]]-Table1[[#This Row],[Total_Purchase_Price]]</f>
        <v>706666.66666666674</v>
      </c>
      <c r="N2" s="8">
        <f>Table1[[#This Row],[Planned_Profit]]/Table1[[#This Row],[Total_Purchase_Price]]</f>
        <v>0.64634146341463428</v>
      </c>
      <c r="P2" s="7">
        <v>45923</v>
      </c>
    </row>
    <row r="3" spans="1:16" x14ac:dyDescent="0.25">
      <c r="A3" s="10" t="s">
        <v>5</v>
      </c>
      <c r="B3" s="1" t="s">
        <v>3</v>
      </c>
      <c r="C3" s="2">
        <v>12</v>
      </c>
      <c r="D3" s="2">
        <v>30000</v>
      </c>
      <c r="E3" s="2">
        <f>Table1[[#This Row],[Total_Shipping_Cost]]/18</f>
        <v>7222.2222222222226</v>
      </c>
      <c r="F3" s="2">
        <v>130000</v>
      </c>
      <c r="G3" s="2">
        <f>Table1[[#This Row],[Shipping_Unit_Cost]]+Table1[[#This Row],[Purchase_Unit_Price]]</f>
        <v>37222.222222222219</v>
      </c>
      <c r="H3" s="2">
        <f>(Table1[[#This Row],[Purchase_Unit_Price]]*Table1[[#This Row],[Quantity]])+(Table1[[#This Row],[Shipping_Unit_Cost]]*Table1[[#This Row],[Quantity]])</f>
        <v>446666.66666666669</v>
      </c>
      <c r="I3" s="1" t="s">
        <v>2</v>
      </c>
      <c r="J3" s="2">
        <v>60000</v>
      </c>
      <c r="K3" s="2">
        <f>Table1[[#This Row],[Target_Sales_Unit_Price]]*Table1[[#This Row],[Quantity]]</f>
        <v>720000</v>
      </c>
      <c r="L3" t="s">
        <v>4</v>
      </c>
      <c r="M3" s="2">
        <f>Table1[[#This Row],[Total_Sales_Price]]-Table1[[#This Row],[Total_Purchase_Price]]</f>
        <v>273333.33333333331</v>
      </c>
      <c r="N3" s="8">
        <f>Table1[[#This Row],[Planned_Profit]]/Table1[[#This Row],[Total_Purchase_Price]]</f>
        <v>0.61194029850746257</v>
      </c>
      <c r="P3" s="7">
        <v>45923</v>
      </c>
    </row>
    <row r="4" spans="1:16" x14ac:dyDescent="0.25">
      <c r="A4" s="10" t="s">
        <v>7</v>
      </c>
      <c r="B4" s="1" t="s">
        <v>6</v>
      </c>
      <c r="C4" s="2">
        <v>6</v>
      </c>
      <c r="D4" s="2">
        <v>150000</v>
      </c>
      <c r="E4" s="2">
        <f>Table1[[#This Row],[Total_Shipping_Cost]]/6</f>
        <v>21666.666666666668</v>
      </c>
      <c r="F4" s="2">
        <v>130000</v>
      </c>
      <c r="G4" s="2">
        <f>Table1[[#This Row],[Shipping_Unit_Cost]]+Table1[[#This Row],[Purchase_Unit_Price]]</f>
        <v>171666.66666666666</v>
      </c>
      <c r="H4" s="2">
        <f>(Table1[[#This Row],[Purchase_Unit_Price]]*Table1[[#This Row],[Quantity]])+(Table1[[#This Row],[Shipping_Unit_Cost]]*Table1[[#This Row],[Quantity]])</f>
        <v>1030000</v>
      </c>
      <c r="I4" s="1" t="s">
        <v>2</v>
      </c>
      <c r="J4" s="2">
        <v>260000</v>
      </c>
      <c r="K4" s="2">
        <f>Table1[[#This Row],[Target_Sales_Unit_Price]]*Table1[[#This Row],[Quantity]]</f>
        <v>1560000</v>
      </c>
      <c r="L4" t="s">
        <v>8</v>
      </c>
      <c r="M4" s="2">
        <f>Table1[[#This Row],[Total_Sales_Price]]-Table1[[#This Row],[Total_Purchase_Price]]</f>
        <v>530000</v>
      </c>
      <c r="N4" s="8">
        <f>Table1[[#This Row],[Planned_Profit]]/Table1[[#This Row],[Total_Purchase_Price]]</f>
        <v>0.5145631067961165</v>
      </c>
      <c r="P4" s="7">
        <v>45932</v>
      </c>
    </row>
    <row r="5" spans="1:16" x14ac:dyDescent="0.25">
      <c r="A5" s="10" t="s">
        <v>9</v>
      </c>
      <c r="B5" s="1" t="s">
        <v>10</v>
      </c>
      <c r="C5" s="2">
        <v>6</v>
      </c>
      <c r="D5" s="2">
        <v>175000</v>
      </c>
      <c r="E5" s="2">
        <f>Table1[[#This Row],[Total_Shipping_Cost]]/6</f>
        <v>0</v>
      </c>
      <c r="F5" s="2">
        <v>0</v>
      </c>
      <c r="G5" s="2">
        <f>Table1[[#This Row],[Shipping_Unit_Cost]]+Table1[[#This Row],[Purchase_Unit_Price]]</f>
        <v>175000</v>
      </c>
      <c r="H5" s="2">
        <f>(Table1[[#This Row],[Purchase_Unit_Price]]*Table1[[#This Row],[Quantity]])+(Table1[[#This Row],[Shipping_Unit_Cost]]*Table1[[#This Row],[Quantity]])</f>
        <v>1050000</v>
      </c>
      <c r="I5" s="1" t="s">
        <v>11</v>
      </c>
      <c r="J5" s="2">
        <v>250000</v>
      </c>
      <c r="K5" s="2">
        <f>Table1[[#This Row],[Target_Sales_Unit_Price]]*Table1[[#This Row],[Quantity]]</f>
        <v>1500000</v>
      </c>
      <c r="L5" t="s">
        <v>12</v>
      </c>
      <c r="M5" s="2">
        <f>Table1[[#This Row],[Total_Sales_Price]]-Table1[[#This Row],[Total_Purchase_Price]]</f>
        <v>450000</v>
      </c>
      <c r="N5" s="8">
        <f>Table1[[#This Row],[Planned_Profit]]/Table1[[#This Row],[Total_Purchase_Price]]</f>
        <v>0.42857142857142855</v>
      </c>
      <c r="P5" s="7">
        <v>45831</v>
      </c>
    </row>
    <row r="6" spans="1:16" x14ac:dyDescent="0.25">
      <c r="A6" s="10" t="s">
        <v>9</v>
      </c>
      <c r="B6" s="1" t="s">
        <v>13</v>
      </c>
      <c r="C6" s="2">
        <v>4</v>
      </c>
      <c r="D6" s="2">
        <v>190000</v>
      </c>
      <c r="E6" s="2">
        <f>Table1[[#This Row],[Total_Shipping_Cost]]/6</f>
        <v>0</v>
      </c>
      <c r="F6" s="2">
        <v>0</v>
      </c>
      <c r="G6" s="2">
        <f>Table1[[#This Row],[Shipping_Unit_Cost]]+Table1[[#This Row],[Purchase_Unit_Price]]</f>
        <v>190000</v>
      </c>
      <c r="H6" s="2">
        <f>(Table1[[#This Row],[Purchase_Unit_Price]]*Table1[[#This Row],[Quantity]])+(Table1[[#This Row],[Shipping_Unit_Cost]]*Table1[[#This Row],[Quantity]])</f>
        <v>760000</v>
      </c>
      <c r="I6" s="1" t="s">
        <v>11</v>
      </c>
      <c r="J6" s="2">
        <v>250000</v>
      </c>
      <c r="K6" s="2">
        <f>Table1[[#This Row],[Target_Sales_Unit_Price]]*Table1[[#This Row],[Quantity]]</f>
        <v>1000000</v>
      </c>
      <c r="L6" t="s">
        <v>14</v>
      </c>
      <c r="M6" s="2">
        <f>Table1[[#This Row],[Total_Sales_Price]]-Table1[[#This Row],[Total_Purchase_Price]]</f>
        <v>240000</v>
      </c>
      <c r="N6" s="8">
        <f>Table1[[#This Row],[Planned_Profit]]/Table1[[#This Row],[Total_Purchase_Price]]</f>
        <v>0.31578947368421051</v>
      </c>
      <c r="P6" s="7">
        <v>45831</v>
      </c>
    </row>
    <row r="7" spans="1:16" x14ac:dyDescent="0.25">
      <c r="A7" s="10" t="s">
        <v>9</v>
      </c>
      <c r="B7" s="1" t="s">
        <v>15</v>
      </c>
      <c r="C7" s="2">
        <v>4</v>
      </c>
      <c r="D7" s="2">
        <v>290000</v>
      </c>
      <c r="E7" s="2">
        <f>Table1[[#This Row],[Total_Shipping_Cost]]/6</f>
        <v>0</v>
      </c>
      <c r="F7" s="2">
        <v>0</v>
      </c>
      <c r="G7" s="2">
        <f>Table1[[#This Row],[Shipping_Unit_Cost]]+Table1[[#This Row],[Purchase_Unit_Price]]</f>
        <v>290000</v>
      </c>
      <c r="H7" s="2">
        <f>(Table1[[#This Row],[Purchase_Unit_Price]]*Table1[[#This Row],[Quantity]])+(Table1[[#This Row],[Shipping_Unit_Cost]]*Table1[[#This Row],[Quantity]])</f>
        <v>1160000</v>
      </c>
      <c r="I7" s="1" t="s">
        <v>11</v>
      </c>
      <c r="J7" s="2">
        <v>450000</v>
      </c>
      <c r="K7" s="2">
        <f>Table1[[#This Row],[Target_Sales_Unit_Price]]*Table1[[#This Row],[Quantity]]</f>
        <v>1800000</v>
      </c>
      <c r="L7" t="s">
        <v>16</v>
      </c>
      <c r="M7" s="2">
        <f>Table1[[#This Row],[Total_Sales_Price]]-Table1[[#This Row],[Total_Purchase_Price]]</f>
        <v>640000</v>
      </c>
      <c r="N7" s="8">
        <f>Table1[[#This Row],[Planned_Profit]]/Table1[[#This Row],[Total_Purchase_Price]]</f>
        <v>0.55172413793103448</v>
      </c>
      <c r="P7" s="7">
        <v>45831</v>
      </c>
    </row>
    <row r="8" spans="1:16" x14ac:dyDescent="0.25">
      <c r="A8" s="10" t="s">
        <v>28</v>
      </c>
      <c r="B8" s="1" t="s">
        <v>17</v>
      </c>
      <c r="C8" s="2">
        <v>6</v>
      </c>
      <c r="D8" s="2">
        <v>300000</v>
      </c>
      <c r="E8" s="2">
        <f>Table1[[#This Row],[Total_Shipping_Cost]]/6</f>
        <v>0</v>
      </c>
      <c r="F8" s="2">
        <v>0</v>
      </c>
      <c r="G8" s="2">
        <f>Table1[[#This Row],[Shipping_Unit_Cost]]+Table1[[#This Row],[Purchase_Unit_Price]]</f>
        <v>300000</v>
      </c>
      <c r="H8" s="2">
        <f>(Table1[[#This Row],[Purchase_Unit_Price]]*Table1[[#This Row],[Quantity]])+(Table1[[#This Row],[Shipping_Unit_Cost]]*Table1[[#This Row],[Quantity]])</f>
        <v>1800000</v>
      </c>
      <c r="I8" s="1" t="s">
        <v>27</v>
      </c>
      <c r="J8" s="2">
        <v>480000</v>
      </c>
      <c r="K8" s="2">
        <f>Table1[[#This Row],[Target_Sales_Unit_Price]]*Table1[[#This Row],[Quantity]]</f>
        <v>2880000</v>
      </c>
      <c r="L8" t="s">
        <v>25</v>
      </c>
      <c r="M8" s="2">
        <f>Table1[[#This Row],[Total_Sales_Price]]-Table1[[#This Row],[Total_Purchase_Price]]</f>
        <v>1080000</v>
      </c>
      <c r="N8" s="8">
        <f>Table1[[#This Row],[Planned_Profit]]/Table1[[#This Row],[Total_Purchase_Price]]</f>
        <v>0.6</v>
      </c>
      <c r="P8" s="7">
        <v>45903</v>
      </c>
    </row>
    <row r="9" spans="1:16" x14ac:dyDescent="0.25">
      <c r="A9" s="10" t="s">
        <v>20</v>
      </c>
      <c r="B9" s="1" t="s">
        <v>18</v>
      </c>
      <c r="C9" s="2">
        <v>6</v>
      </c>
      <c r="D9" s="2">
        <v>190000</v>
      </c>
      <c r="E9" s="2">
        <f>Table1[[#This Row],[Total_Shipping_Cost]]/6</f>
        <v>20000</v>
      </c>
      <c r="F9" s="2">
        <v>120000</v>
      </c>
      <c r="G9" s="2">
        <f>Table1[[#This Row],[Shipping_Unit_Cost]]+Table1[[#This Row],[Purchase_Unit_Price]]</f>
        <v>210000</v>
      </c>
      <c r="H9" s="2">
        <f>(Table1[[#This Row],[Purchase_Unit_Price]]*Table1[[#This Row],[Quantity]])+(Table1[[#This Row],[Shipping_Unit_Cost]]*Table1[[#This Row],[Quantity]])</f>
        <v>1260000</v>
      </c>
      <c r="I9" s="1" t="s">
        <v>19</v>
      </c>
      <c r="J9" s="2">
        <v>300000</v>
      </c>
      <c r="K9" s="2">
        <f>Table1[[#This Row],[Target_Sales_Unit_Price]]*Table1[[#This Row],[Quantity]]</f>
        <v>1800000</v>
      </c>
      <c r="L9" t="s">
        <v>16</v>
      </c>
      <c r="M9" s="2">
        <f>Table1[[#This Row],[Total_Sales_Price]]-Table1[[#This Row],[Total_Purchase_Price]]</f>
        <v>540000</v>
      </c>
      <c r="N9" s="8">
        <f>Table1[[#This Row],[Planned_Profit]]/Table1[[#This Row],[Total_Purchase_Price]]</f>
        <v>0.42857142857142855</v>
      </c>
      <c r="P9" s="7">
        <v>45862</v>
      </c>
    </row>
    <row r="10" spans="1:16" x14ac:dyDescent="0.25">
      <c r="A10" s="10" t="s">
        <v>20</v>
      </c>
      <c r="B10" s="1" t="s">
        <v>21</v>
      </c>
      <c r="C10" s="2">
        <v>6</v>
      </c>
      <c r="D10" s="2">
        <v>299000</v>
      </c>
      <c r="E10" s="2">
        <f>Table1[[#This Row],[Total_Shipping_Cost]]/6</f>
        <v>14166.666666666666</v>
      </c>
      <c r="F10" s="2">
        <v>85000</v>
      </c>
      <c r="G10" s="2">
        <f>Table1[[#This Row],[Shipping_Unit_Cost]]+Table1[[#This Row],[Purchase_Unit_Price]]</f>
        <v>313166.66666666669</v>
      </c>
      <c r="H10" s="2">
        <f>(Table1[[#This Row],[Purchase_Unit_Price]]*Table1[[#This Row],[Quantity]])+(Table1[[#This Row],[Shipping_Unit_Cost]]*Table1[[#This Row],[Quantity]])</f>
        <v>1879000</v>
      </c>
      <c r="I10" s="1" t="s">
        <v>19</v>
      </c>
      <c r="J10" s="2">
        <v>450000</v>
      </c>
      <c r="K10" s="2">
        <f>Table1[[#This Row],[Target_Sales_Unit_Price]]*Table1[[#This Row],[Quantity]]</f>
        <v>2700000</v>
      </c>
      <c r="L10" t="s">
        <v>24</v>
      </c>
      <c r="M10" s="2">
        <f>Table1[[#This Row],[Total_Sales_Price]]-Table1[[#This Row],[Total_Purchase_Price]]</f>
        <v>821000</v>
      </c>
      <c r="N10" s="8">
        <f>Table1[[#This Row],[Planned_Profit]]/Table1[[#This Row],[Total_Purchase_Price]]</f>
        <v>0.43693453964874934</v>
      </c>
      <c r="P10" s="7">
        <v>45862</v>
      </c>
    </row>
    <row r="11" spans="1:16" x14ac:dyDescent="0.25">
      <c r="A11" s="10" t="s">
        <v>9</v>
      </c>
      <c r="B11" s="1" t="s">
        <v>22</v>
      </c>
      <c r="C11" s="2">
        <v>4</v>
      </c>
      <c r="D11" s="2">
        <v>400000</v>
      </c>
      <c r="E11" s="2">
        <f>Table1[[#This Row],[Total_Shipping_Cost]]/4</f>
        <v>25000</v>
      </c>
      <c r="F11" s="2">
        <v>100000</v>
      </c>
      <c r="G11" s="2">
        <f>Table1[[#This Row],[Shipping_Unit_Cost]]+Table1[[#This Row],[Purchase_Unit_Price]]</f>
        <v>425000</v>
      </c>
      <c r="H11" s="2">
        <f>(Table1[[#This Row],[Purchase_Unit_Price]]*Table1[[#This Row],[Quantity]])+(Table1[[#This Row],[Shipping_Unit_Cost]]*Table1[[#This Row],[Quantity]])</f>
        <v>1700000</v>
      </c>
      <c r="I11" s="1" t="s">
        <v>19</v>
      </c>
      <c r="J11" s="2">
        <v>700000</v>
      </c>
      <c r="K11" s="2">
        <f>Table1[[#This Row],[Target_Sales_Unit_Price]]*Table1[[#This Row],[Quantity]]</f>
        <v>2800000</v>
      </c>
      <c r="L11" t="s">
        <v>23</v>
      </c>
      <c r="M11" s="2">
        <f>Table1[[#This Row],[Total_Sales_Price]]-Table1[[#This Row],[Total_Purchase_Price]]</f>
        <v>1100000</v>
      </c>
      <c r="N11" s="8">
        <f>Table1[[#This Row],[Planned_Profit]]/Table1[[#This Row],[Total_Purchase_Price]]</f>
        <v>0.6470588235294118</v>
      </c>
      <c r="P11" s="7">
        <v>45831</v>
      </c>
    </row>
    <row r="12" spans="1:16" x14ac:dyDescent="0.25">
      <c r="A12" s="10" t="s">
        <v>28</v>
      </c>
      <c r="B12" s="1" t="s">
        <v>26</v>
      </c>
      <c r="C12" s="2">
        <v>9</v>
      </c>
      <c r="D12" s="2">
        <v>145000</v>
      </c>
      <c r="E12" s="2">
        <f>Table1[[#This Row],[Total_Shipping_Cost]]/6</f>
        <v>0</v>
      </c>
      <c r="F12" s="2">
        <v>0</v>
      </c>
      <c r="G12" s="2">
        <f>Table1[[#This Row],[Shipping_Unit_Cost]]+Table1[[#This Row],[Purchase_Unit_Price]]</f>
        <v>145000</v>
      </c>
      <c r="H12" s="2">
        <f>(Table1[[#This Row],[Purchase_Unit_Price]]*Table1[[#This Row],[Quantity]])+(Table1[[#This Row],[Shipping_Unit_Cost]]*Table1[[#This Row],[Quantity]])</f>
        <v>1305000</v>
      </c>
      <c r="I12" s="1" t="s">
        <v>27</v>
      </c>
      <c r="J12" s="2">
        <v>200000</v>
      </c>
      <c r="K12" s="2">
        <f>Table1[[#This Row],[Target_Sales_Unit_Price]]*Table1[[#This Row],[Quantity]]</f>
        <v>1800000</v>
      </c>
      <c r="L12" t="s">
        <v>8</v>
      </c>
      <c r="M12" s="2">
        <f>Table1[[#This Row],[Total_Sales_Price]]-Table1[[#This Row],[Total_Purchase_Price]]</f>
        <v>495000</v>
      </c>
      <c r="N12" s="8">
        <f>Table1[[#This Row],[Planned_Profit]]/Table1[[#This Row],[Total_Purchase_Price]]</f>
        <v>0.37931034482758619</v>
      </c>
      <c r="P12" s="7">
        <v>45903</v>
      </c>
    </row>
    <row r="16" spans="1:16" x14ac:dyDescent="0.25">
      <c r="D16" s="2">
        <f>SUM(Table1[Purchase_Unit_Price])</f>
        <v>2344000</v>
      </c>
      <c r="H16" s="2">
        <f>SUM(Table1[Total_Purchase_Price])</f>
        <v>13484000</v>
      </c>
      <c r="K16" s="2">
        <f>SUM(Table1[Total_Sales_Price])</f>
        <v>20360000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1:D66"/>
  <sheetViews>
    <sheetView topLeftCell="A8" workbookViewId="0">
      <selection activeCell="A26" sqref="A26"/>
    </sheetView>
  </sheetViews>
  <sheetFormatPr defaultRowHeight="15" x14ac:dyDescent="0.25"/>
  <cols>
    <col min="1" max="1" width="16.5703125" style="5" bestFit="1" customWidth="1"/>
    <col min="2" max="2" width="19" style="2" bestFit="1" customWidth="1"/>
    <col min="3" max="3" width="24.140625" style="2" bestFit="1" customWidth="1"/>
    <col min="4" max="4" width="28.7109375" style="3" bestFit="1" customWidth="1"/>
  </cols>
  <sheetData>
    <row r="21" spans="1:4" x14ac:dyDescent="0.25">
      <c r="A21" s="6" t="s">
        <v>45</v>
      </c>
      <c r="B21" s="2" t="s">
        <v>55</v>
      </c>
      <c r="C21" s="2" t="s">
        <v>56</v>
      </c>
      <c r="D21" s="3" t="s">
        <v>57</v>
      </c>
    </row>
    <row r="22" spans="1:4" x14ac:dyDescent="0.25">
      <c r="A22" s="5" t="s">
        <v>0</v>
      </c>
      <c r="B22" s="2">
        <v>1760000</v>
      </c>
      <c r="C22" s="2">
        <v>166666.66666666666</v>
      </c>
      <c r="D22" s="3">
        <v>0.60518292682926833</v>
      </c>
    </row>
    <row r="23" spans="1:4" x14ac:dyDescent="0.25">
      <c r="A23" s="5" t="s">
        <v>17</v>
      </c>
      <c r="B23" s="2">
        <v>2820000</v>
      </c>
      <c r="C23" s="2">
        <v>255000</v>
      </c>
      <c r="D23" s="3">
        <v>0.57499999999999996</v>
      </c>
    </row>
    <row r="24" spans="1:4" x14ac:dyDescent="0.25">
      <c r="A24" s="5" t="s">
        <v>22</v>
      </c>
      <c r="B24" s="2">
        <v>2550000</v>
      </c>
      <c r="C24" s="2">
        <v>294444.44444444444</v>
      </c>
      <c r="D24" s="3">
        <v>0.55999999999999994</v>
      </c>
    </row>
    <row r="25" spans="1:4" x14ac:dyDescent="0.25">
      <c r="A25" s="5" t="s">
        <v>15</v>
      </c>
      <c r="B25" s="2">
        <v>1770000</v>
      </c>
      <c r="C25" s="2">
        <v>203333.33333333334</v>
      </c>
      <c r="D25" s="3">
        <v>0.51724137931034486</v>
      </c>
    </row>
    <row r="26" spans="1:4" ht="16.5" customHeight="1" x14ac:dyDescent="0.25">
      <c r="A26" s="5" t="s">
        <v>3</v>
      </c>
      <c r="B26" s="2">
        <v>665000</v>
      </c>
      <c r="C26" s="2">
        <v>43666.666666666672</v>
      </c>
      <c r="D26" s="3">
        <v>0.47761194029850751</v>
      </c>
    </row>
    <row r="27" spans="1:4" x14ac:dyDescent="0.25">
      <c r="A27" s="5" t="s">
        <v>18</v>
      </c>
      <c r="B27" s="2">
        <v>1800000</v>
      </c>
      <c r="C27" s="2">
        <v>540000</v>
      </c>
      <c r="D27" s="3">
        <v>0.42857142857142855</v>
      </c>
    </row>
    <row r="28" spans="1:4" x14ac:dyDescent="0.25">
      <c r="A28" s="5" t="s">
        <v>21</v>
      </c>
      <c r="B28" s="2">
        <v>2600000</v>
      </c>
      <c r="C28" s="2">
        <v>240333.33333333326</v>
      </c>
      <c r="D28" s="3">
        <v>0.38371474188398075</v>
      </c>
    </row>
    <row r="29" spans="1:4" x14ac:dyDescent="0.25">
      <c r="A29" s="5" t="s">
        <v>6</v>
      </c>
      <c r="B29" s="2">
        <v>1390000</v>
      </c>
      <c r="C29" s="2">
        <v>120000.00000000004</v>
      </c>
      <c r="D29" s="3">
        <v>0.37864077669902918</v>
      </c>
    </row>
    <row r="30" spans="1:4" x14ac:dyDescent="0.25">
      <c r="A30" s="5" t="s">
        <v>10</v>
      </c>
      <c r="B30" s="2">
        <v>1340000</v>
      </c>
      <c r="C30" s="2">
        <v>96666.666666666672</v>
      </c>
      <c r="D30" s="3">
        <v>0.29523809523809524</v>
      </c>
    </row>
    <row r="31" spans="1:4" x14ac:dyDescent="0.25">
      <c r="A31" s="5" t="s">
        <v>13</v>
      </c>
      <c r="B31" s="2">
        <v>970000</v>
      </c>
      <c r="C31" s="2">
        <v>70000</v>
      </c>
      <c r="D31" s="3">
        <v>0.26315789473684209</v>
      </c>
    </row>
    <row r="32" spans="1:4" x14ac:dyDescent="0.25">
      <c r="A32" s="5" t="s">
        <v>26</v>
      </c>
      <c r="B32" s="2">
        <v>1580000</v>
      </c>
      <c r="C32" s="2">
        <v>68750</v>
      </c>
      <c r="D32" s="3">
        <v>0.22413793103448276</v>
      </c>
    </row>
    <row r="33" spans="1:4" x14ac:dyDescent="0.25">
      <c r="A33" s="5" t="s">
        <v>38</v>
      </c>
      <c r="B33" s="2">
        <v>19245000</v>
      </c>
      <c r="C33" s="2">
        <v>160953.70370370374</v>
      </c>
      <c r="D33" s="3">
        <v>0.43410814514232904</v>
      </c>
    </row>
    <row r="34" spans="1:4" x14ac:dyDescent="0.25">
      <c r="A34"/>
      <c r="B34"/>
      <c r="C34"/>
      <c r="D34"/>
    </row>
    <row r="48" spans="1:4" x14ac:dyDescent="0.25">
      <c r="A48" s="13" t="s">
        <v>69</v>
      </c>
      <c r="B48" s="13" t="s">
        <v>54</v>
      </c>
      <c r="C48" t="s">
        <v>79</v>
      </c>
    </row>
    <row r="49" spans="1:3" x14ac:dyDescent="0.25">
      <c r="A49">
        <v>1</v>
      </c>
      <c r="B49" t="s">
        <v>31</v>
      </c>
      <c r="C49" s="4">
        <v>2</v>
      </c>
    </row>
    <row r="50" spans="1:3" x14ac:dyDescent="0.25">
      <c r="A50" t="s">
        <v>70</v>
      </c>
      <c r="B50"/>
      <c r="C50" s="4">
        <v>2</v>
      </c>
    </row>
    <row r="51" spans="1:3" x14ac:dyDescent="0.25">
      <c r="A51">
        <v>2</v>
      </c>
      <c r="B51" t="s">
        <v>32</v>
      </c>
      <c r="C51" s="4">
        <v>4</v>
      </c>
    </row>
    <row r="52" spans="1:3" x14ac:dyDescent="0.25">
      <c r="A52" t="s">
        <v>71</v>
      </c>
      <c r="B52"/>
      <c r="C52" s="4">
        <v>4</v>
      </c>
    </row>
    <row r="53" spans="1:3" x14ac:dyDescent="0.25">
      <c r="A53">
        <v>3</v>
      </c>
      <c r="B53" t="s">
        <v>30</v>
      </c>
      <c r="C53" s="4">
        <v>19</v>
      </c>
    </row>
    <row r="54" spans="1:3" x14ac:dyDescent="0.25">
      <c r="A54" t="s">
        <v>72</v>
      </c>
      <c r="B54"/>
      <c r="C54" s="4">
        <v>19</v>
      </c>
    </row>
    <row r="55" spans="1:3" x14ac:dyDescent="0.25">
      <c r="A55">
        <v>4</v>
      </c>
      <c r="B55" t="s">
        <v>29</v>
      </c>
      <c r="C55" s="4">
        <v>9</v>
      </c>
    </row>
    <row r="56" spans="1:3" x14ac:dyDescent="0.25">
      <c r="A56" t="s">
        <v>73</v>
      </c>
      <c r="B56"/>
      <c r="C56" s="4">
        <v>9</v>
      </c>
    </row>
    <row r="57" spans="1:3" x14ac:dyDescent="0.25">
      <c r="A57">
        <v>5</v>
      </c>
      <c r="B57" t="s">
        <v>33</v>
      </c>
      <c r="C57" s="4">
        <v>14</v>
      </c>
    </row>
    <row r="58" spans="1:3" x14ac:dyDescent="0.25">
      <c r="A58" t="s">
        <v>74</v>
      </c>
      <c r="B58"/>
      <c r="C58" s="4">
        <v>14</v>
      </c>
    </row>
    <row r="59" spans="1:3" x14ac:dyDescent="0.25">
      <c r="A59">
        <v>6</v>
      </c>
      <c r="B59" t="s">
        <v>34</v>
      </c>
      <c r="C59" s="4">
        <v>10</v>
      </c>
    </row>
    <row r="60" spans="1:3" x14ac:dyDescent="0.25">
      <c r="A60" t="s">
        <v>75</v>
      </c>
      <c r="B60"/>
      <c r="C60" s="4">
        <v>10</v>
      </c>
    </row>
    <row r="61" spans="1:3" x14ac:dyDescent="0.25">
      <c r="A61">
        <v>7</v>
      </c>
      <c r="B61" t="s">
        <v>35</v>
      </c>
      <c r="C61" s="4">
        <v>8</v>
      </c>
    </row>
    <row r="62" spans="1:3" x14ac:dyDescent="0.25">
      <c r="A62" t="s">
        <v>76</v>
      </c>
      <c r="B62"/>
      <c r="C62" s="4">
        <v>8</v>
      </c>
    </row>
    <row r="63" spans="1:3" x14ac:dyDescent="0.25">
      <c r="A63">
        <v>8</v>
      </c>
      <c r="B63" t="s">
        <v>36</v>
      </c>
      <c r="C63" s="4">
        <v>1</v>
      </c>
    </row>
    <row r="64" spans="1:3" x14ac:dyDescent="0.25">
      <c r="A64" t="s">
        <v>77</v>
      </c>
      <c r="B64"/>
      <c r="C64" s="4">
        <v>1</v>
      </c>
    </row>
    <row r="65" spans="1:3" x14ac:dyDescent="0.25">
      <c r="A65">
        <v>9</v>
      </c>
      <c r="B65" t="s">
        <v>37</v>
      </c>
      <c r="C65" s="4">
        <v>1</v>
      </c>
    </row>
    <row r="66" spans="1:3" x14ac:dyDescent="0.25">
      <c r="A66" t="s">
        <v>78</v>
      </c>
      <c r="B66"/>
      <c r="C66" s="4">
        <v>1</v>
      </c>
    </row>
  </sheetData>
  <conditionalFormatting pivot="1" sqref="D22:D32">
    <cfRule type="cellIs" dxfId="75" priority="4" operator="greaterThan">
      <formula>0.45</formula>
    </cfRule>
  </conditionalFormatting>
  <conditionalFormatting pivot="1" sqref="D22:D32">
    <cfRule type="cellIs" dxfId="74" priority="3" operator="greaterThan">
      <formula>0.45</formula>
    </cfRule>
  </conditionalFormatting>
  <conditionalFormatting pivot="1" sqref="D22:D32">
    <cfRule type="cellIs" dxfId="73" priority="2" operator="between">
      <formula>0.3</formula>
      <formula>0.45</formula>
    </cfRule>
  </conditionalFormatting>
  <conditionalFormatting pivot="1" sqref="D22:D32">
    <cfRule type="cellIs" dxfId="72" priority="1" operator="lessThan">
      <formula>0.3</formula>
    </cfRule>
  </conditionalFormatting>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L39"/>
  <sheetViews>
    <sheetView showGridLines="0" rightToLeft="1" topLeftCell="B1" workbookViewId="0">
      <pane ySplit="1" topLeftCell="A19" activePane="bottomLeft" state="frozen"/>
      <selection pane="bottomLeft" activeCell="J22" sqref="J22"/>
    </sheetView>
  </sheetViews>
  <sheetFormatPr defaultRowHeight="15" x14ac:dyDescent="0.25"/>
  <cols>
    <col min="1" max="1" width="18.42578125" style="18" customWidth="1"/>
    <col min="2" max="3" width="16.28515625" style="18" customWidth="1"/>
    <col min="4" max="4" width="19" style="19" customWidth="1"/>
    <col min="5" max="5" width="20.28515625" style="19" customWidth="1"/>
    <col min="6" max="6" width="16.42578125" style="19" customWidth="1"/>
    <col min="7" max="7" width="24" style="19" customWidth="1"/>
    <col min="8" max="8" width="16.85546875" style="1" customWidth="1"/>
    <col min="9" max="9" width="18.85546875" style="19" customWidth="1"/>
    <col min="10" max="10" width="21.140625" style="19" customWidth="1"/>
    <col min="11" max="11" width="28.5703125" style="12" customWidth="1"/>
  </cols>
  <sheetData>
    <row r="1" spans="1:12" x14ac:dyDescent="0.25">
      <c r="A1" s="18" t="s">
        <v>45</v>
      </c>
      <c r="B1" s="18" t="s">
        <v>54</v>
      </c>
      <c r="C1" s="18" t="s">
        <v>69</v>
      </c>
      <c r="D1" s="19" t="s">
        <v>58</v>
      </c>
      <c r="E1" s="19" t="s">
        <v>90</v>
      </c>
      <c r="F1" s="19" t="s">
        <v>59</v>
      </c>
      <c r="G1" s="19" t="s">
        <v>60</v>
      </c>
      <c r="H1" s="1" t="s">
        <v>61</v>
      </c>
      <c r="I1" s="19" t="s">
        <v>62</v>
      </c>
      <c r="J1" s="20" t="s">
        <v>63</v>
      </c>
      <c r="K1" s="11" t="s">
        <v>84</v>
      </c>
      <c r="L1" s="1"/>
    </row>
    <row r="2" spans="1:12" x14ac:dyDescent="0.25">
      <c r="A2" s="18" t="s">
        <v>0</v>
      </c>
      <c r="B2" s="18" t="s">
        <v>29</v>
      </c>
      <c r="C2" s="18">
        <v>4</v>
      </c>
      <c r="D2" s="19">
        <v>2</v>
      </c>
      <c r="E2" s="19">
        <v>290000</v>
      </c>
      <c r="F2" s="19">
        <f>Table2[[#This Row],[Actual_Sale_Price]]*Table2[[#This Row],[Sold_Quantity]]</f>
        <v>580000</v>
      </c>
      <c r="G2" s="19">
        <v>4</v>
      </c>
      <c r="H2" s="18" t="str">
        <f>IF(Table2[[#This Row],[Sold_Quantity]]&gt;=Table2[[#This Row],[Monthly_Sales_Target]], "هدف", "غیر هدف")</f>
        <v>غیر هدف</v>
      </c>
      <c r="I2" s="19">
        <f>(Table2[[#This Row],[Actual_Sale_Price]] - Table2[[#This Row],[Total_Unit_Cost]]) * Table2[[#This Row],[Sold_Quantity]]</f>
        <v>215555.55555555556</v>
      </c>
      <c r="J2" s="19">
        <f>IFERROR(INDEX(Table1[Total_Purchase_Unit_Price], MATCH(Table2[[#This Row],[Product_Name]], Table1[Product_Name], 0)), 0)</f>
        <v>182222.22222222222</v>
      </c>
      <c r="K2" s="8">
        <f>IFERROR((Table2[[#This Row],[Actual_Sale_Price]] - Table2[[#This Row],[Total_Unit_Cost]]) / Table2[[#This Row],[Total_Unit_Cost]], 0)</f>
        <v>0.59146341463414642</v>
      </c>
      <c r="L2" s="2"/>
    </row>
    <row r="3" spans="1:12" x14ac:dyDescent="0.25">
      <c r="A3" s="18" t="s">
        <v>3</v>
      </c>
      <c r="B3" s="18" t="s">
        <v>29</v>
      </c>
      <c r="C3" s="18">
        <v>4</v>
      </c>
      <c r="D3" s="19">
        <v>1</v>
      </c>
      <c r="E3" s="19">
        <v>55000</v>
      </c>
      <c r="F3" s="19">
        <f>Table2[[#This Row],[Actual_Sale_Price]]*Table2[[#This Row],[Sold_Quantity]]</f>
        <v>55000</v>
      </c>
      <c r="G3" s="19">
        <v>0</v>
      </c>
      <c r="H3" s="1" t="str">
        <f>IF(Table2[[#This Row],[Sold_Quantity]]&gt;=Table2[[#This Row],[Monthly_Sales_Target]], "هدف", "غیر هدف")</f>
        <v>هدف</v>
      </c>
      <c r="I3" s="19">
        <f>(Table2[[#This Row],[Actual_Sale_Price]] - Table2[[#This Row],[Total_Unit_Cost]]) * Table2[[#This Row],[Sold_Quantity]]</f>
        <v>17777.777777777781</v>
      </c>
      <c r="J3" s="19">
        <f>IFERROR(INDEX(Table1[Total_Purchase_Unit_Price], MATCH(Table2[[#This Row],[Product_Name]], Table1[Product_Name], 0)), 0)</f>
        <v>37222.222222222219</v>
      </c>
      <c r="K3" s="8">
        <f>IFERROR((Table2[[#This Row],[Actual_Sale_Price]] - Table2[[#This Row],[Total_Unit_Cost]]) / Table2[[#This Row],[Total_Unit_Cost]], 0)</f>
        <v>0.47761194029850756</v>
      </c>
      <c r="L3" s="2"/>
    </row>
    <row r="4" spans="1:12" x14ac:dyDescent="0.25">
      <c r="A4" s="18" t="s">
        <v>6</v>
      </c>
      <c r="B4" s="18" t="s">
        <v>29</v>
      </c>
      <c r="C4" s="18">
        <v>4</v>
      </c>
      <c r="D4" s="19">
        <v>2</v>
      </c>
      <c r="E4" s="19">
        <v>240000</v>
      </c>
      <c r="F4" s="19">
        <f>Table2[[#This Row],[Actual_Sale_Price]]*Table2[[#This Row],[Sold_Quantity]]</f>
        <v>480000</v>
      </c>
      <c r="G4" s="19">
        <v>5</v>
      </c>
      <c r="H4" s="1" t="str">
        <f>IF(Table2[[#This Row],[Sold_Quantity]]&gt;=Table2[[#This Row],[Monthly_Sales_Target]], "هدف", "غیر هدف")</f>
        <v>غیر هدف</v>
      </c>
      <c r="I4" s="19">
        <f>(Table2[[#This Row],[Actual_Sale_Price]] - Table2[[#This Row],[Total_Unit_Cost]]) * Table2[[#This Row],[Sold_Quantity]]</f>
        <v>136666.66666666669</v>
      </c>
      <c r="J4" s="19">
        <f>IFERROR(INDEX(Table1[Total_Purchase_Unit_Price], MATCH(Table2[[#This Row],[Product_Name]], Table1[Product_Name], 0)), 0)</f>
        <v>171666.66666666666</v>
      </c>
      <c r="K4" s="8">
        <f>IFERROR((Table2[[#This Row],[Actual_Sale_Price]] - Table2[[#This Row],[Total_Unit_Cost]]) / Table2[[#This Row],[Total_Unit_Cost]], 0)</f>
        <v>0.39805825242718457</v>
      </c>
      <c r="L4" s="2"/>
    </row>
    <row r="5" spans="1:12" x14ac:dyDescent="0.25">
      <c r="A5" s="18" t="s">
        <v>10</v>
      </c>
      <c r="B5" s="18" t="s">
        <v>30</v>
      </c>
      <c r="C5" s="18">
        <v>3</v>
      </c>
      <c r="D5" s="19">
        <v>3</v>
      </c>
      <c r="E5" s="19">
        <v>230000</v>
      </c>
      <c r="F5" s="19">
        <f>Table2[[#This Row],[Actual_Sale_Price]]*Table2[[#This Row],[Sold_Quantity]]</f>
        <v>690000</v>
      </c>
      <c r="G5" s="19">
        <v>2</v>
      </c>
      <c r="H5" s="1" t="str">
        <f>IF(Table2[[#This Row],[Sold_Quantity]]&gt;=Table2[[#This Row],[Monthly_Sales_Target]], "هدف", "غیر هدف")</f>
        <v>هدف</v>
      </c>
      <c r="I5" s="19">
        <f>(Table2[[#This Row],[Actual_Sale_Price]] - Table2[[#This Row],[Total_Unit_Cost]]) * Table2[[#This Row],[Sold_Quantity]]</f>
        <v>165000</v>
      </c>
      <c r="J5" s="19">
        <f>IFERROR(INDEX(Table1[Total_Purchase_Unit_Price], MATCH(Table2[[#This Row],[Product_Name]], Table1[Product_Name], 0)), 0)</f>
        <v>175000</v>
      </c>
      <c r="K5" s="8">
        <f>IFERROR((Table2[[#This Row],[Actual_Sale_Price]] - Table2[[#This Row],[Total_Unit_Cost]]) / Table2[[#This Row],[Total_Unit_Cost]], 0)</f>
        <v>0.31428571428571428</v>
      </c>
      <c r="L5" s="2"/>
    </row>
    <row r="6" spans="1:12" x14ac:dyDescent="0.25">
      <c r="A6" s="18" t="s">
        <v>13</v>
      </c>
      <c r="B6" s="18" t="s">
        <v>30</v>
      </c>
      <c r="C6" s="18">
        <v>3</v>
      </c>
      <c r="D6" s="19">
        <v>2</v>
      </c>
      <c r="E6" s="19">
        <v>250000</v>
      </c>
      <c r="F6" s="19">
        <f>Table2[[#This Row],[Actual_Sale_Price]]*Table2[[#This Row],[Sold_Quantity]]</f>
        <v>500000</v>
      </c>
      <c r="G6" s="19">
        <v>3</v>
      </c>
      <c r="H6" s="1" t="str">
        <f>IF(Table2[[#This Row],[Sold_Quantity]]&gt;=Table2[[#This Row],[Monthly_Sales_Target]], "هدف", "غیر هدف")</f>
        <v>غیر هدف</v>
      </c>
      <c r="I6" s="19">
        <f>(Table2[[#This Row],[Actual_Sale_Price]] - Table2[[#This Row],[Total_Unit_Cost]]) * Table2[[#This Row],[Sold_Quantity]]</f>
        <v>120000</v>
      </c>
      <c r="J6" s="19">
        <f>IFERROR(INDEX(Table1[Total_Purchase_Unit_Price], MATCH(Table2[[#This Row],[Product_Name]], Table1[Product_Name], 0)), 0)</f>
        <v>190000</v>
      </c>
      <c r="K6" s="8">
        <f>IFERROR((Table2[[#This Row],[Actual_Sale_Price]] - Table2[[#This Row],[Total_Unit_Cost]]) / Table2[[#This Row],[Total_Unit_Cost]], 0)</f>
        <v>0.31578947368421051</v>
      </c>
      <c r="L6" s="2"/>
    </row>
    <row r="7" spans="1:12" x14ac:dyDescent="0.25">
      <c r="A7" s="18" t="s">
        <v>15</v>
      </c>
      <c r="B7" s="18" t="s">
        <v>31</v>
      </c>
      <c r="C7" s="18">
        <v>1</v>
      </c>
      <c r="D7" s="19">
        <v>1</v>
      </c>
      <c r="E7" s="19">
        <v>420000</v>
      </c>
      <c r="F7" s="19">
        <f>Table2[[#This Row],[Actual_Sale_Price]]*Table2[[#This Row],[Sold_Quantity]]</f>
        <v>420000</v>
      </c>
      <c r="G7" s="19">
        <v>2</v>
      </c>
      <c r="H7" s="1" t="str">
        <f>IF(Table2[[#This Row],[Sold_Quantity]]&gt;=Table2[[#This Row],[Monthly_Sales_Target]], "هدف", "غیر هدف")</f>
        <v>غیر هدف</v>
      </c>
      <c r="I7" s="19">
        <f>(Table2[[#This Row],[Actual_Sale_Price]] - Table2[[#This Row],[Total_Unit_Cost]]) * Table2[[#This Row],[Sold_Quantity]]</f>
        <v>130000</v>
      </c>
      <c r="J7" s="19">
        <f>IFERROR(INDEX(Table1[Total_Purchase_Unit_Price], MATCH(Table2[[#This Row],[Product_Name]], Table1[Product_Name], 0)), 0)</f>
        <v>290000</v>
      </c>
      <c r="K7" s="8">
        <f>IFERROR((Table2[[#This Row],[Actual_Sale_Price]] - Table2[[#This Row],[Total_Unit_Cost]]) / Table2[[#This Row],[Total_Unit_Cost]], 0)</f>
        <v>0.44827586206896552</v>
      </c>
      <c r="L7" s="2"/>
    </row>
    <row r="8" spans="1:12" x14ac:dyDescent="0.25">
      <c r="A8" s="18" t="s">
        <v>17</v>
      </c>
      <c r="B8" s="18" t="s">
        <v>31</v>
      </c>
      <c r="C8" s="18">
        <v>1</v>
      </c>
      <c r="D8" s="19">
        <v>1</v>
      </c>
      <c r="E8" s="19">
        <v>480000</v>
      </c>
      <c r="F8" s="19">
        <f>Table2[[#This Row],[Actual_Sale_Price]]*Table2[[#This Row],[Sold_Quantity]]</f>
        <v>480000</v>
      </c>
      <c r="G8" s="19">
        <v>3</v>
      </c>
      <c r="H8" s="1" t="str">
        <f>IF(Table2[[#This Row],[Sold_Quantity]]&gt;=Table2[[#This Row],[Monthly_Sales_Target]], "هدف", "غیر هدف")</f>
        <v>غیر هدف</v>
      </c>
      <c r="I8" s="19">
        <f>(Table2[[#This Row],[Actual_Sale_Price]] - Table2[[#This Row],[Total_Unit_Cost]]) * Table2[[#This Row],[Sold_Quantity]]</f>
        <v>180000</v>
      </c>
      <c r="J8" s="19">
        <f>IFERROR(INDEX(Table1[Total_Purchase_Unit_Price], MATCH(Table2[[#This Row],[Product_Name]], Table1[Product_Name], 0)), 0)</f>
        <v>300000</v>
      </c>
      <c r="K8" s="8">
        <f>IFERROR((Table2[[#This Row],[Actual_Sale_Price]] - Table2[[#This Row],[Total_Unit_Cost]]) / Table2[[#This Row],[Total_Unit_Cost]], 0)</f>
        <v>0.6</v>
      </c>
      <c r="L8" s="2"/>
    </row>
    <row r="9" spans="1:12" x14ac:dyDescent="0.25">
      <c r="A9" s="18" t="s">
        <v>18</v>
      </c>
      <c r="B9" s="18" t="s">
        <v>30</v>
      </c>
      <c r="C9" s="18">
        <v>3</v>
      </c>
      <c r="D9" s="19">
        <v>6</v>
      </c>
      <c r="E9" s="19">
        <v>300000</v>
      </c>
      <c r="F9" s="19">
        <f>Table2[[#This Row],[Actual_Sale_Price]]*Table2[[#This Row],[Sold_Quantity]]</f>
        <v>1800000</v>
      </c>
      <c r="G9" s="19">
        <v>3</v>
      </c>
      <c r="H9" s="1" t="str">
        <f>IF(Table2[[#This Row],[Sold_Quantity]]&gt;=Table2[[#This Row],[Monthly_Sales_Target]], "هدف", "غیر هدف")</f>
        <v>هدف</v>
      </c>
      <c r="I9" s="19">
        <f>(Table2[[#This Row],[Actual_Sale_Price]] - Table2[[#This Row],[Total_Unit_Cost]]) * Table2[[#This Row],[Sold_Quantity]]</f>
        <v>540000</v>
      </c>
      <c r="J9" s="19">
        <f>IFERROR(INDEX(Table1[Total_Purchase_Unit_Price], MATCH(Table2[[#This Row],[Product_Name]], Table1[Product_Name], 0)), 0)</f>
        <v>210000</v>
      </c>
      <c r="K9" s="8">
        <f>IFERROR((Table2[[#This Row],[Actual_Sale_Price]] - Table2[[#This Row],[Total_Unit_Cost]]) / Table2[[#This Row],[Total_Unit_Cost]], 0)</f>
        <v>0.42857142857142855</v>
      </c>
      <c r="L9" s="2"/>
    </row>
    <row r="10" spans="1:12" x14ac:dyDescent="0.25">
      <c r="A10" s="18" t="s">
        <v>21</v>
      </c>
      <c r="B10" s="18" t="s">
        <v>32</v>
      </c>
      <c r="C10" s="18">
        <v>2</v>
      </c>
      <c r="D10" s="19">
        <v>3</v>
      </c>
      <c r="E10" s="19">
        <v>450000</v>
      </c>
      <c r="F10" s="19">
        <f>Table2[[#This Row],[Actual_Sale_Price]]*Table2[[#This Row],[Sold_Quantity]]</f>
        <v>1350000</v>
      </c>
      <c r="G10" s="19">
        <v>4</v>
      </c>
      <c r="H10" s="1" t="str">
        <f>IF(Table2[[#This Row],[Sold_Quantity]]&gt;=Table2[[#This Row],[Monthly_Sales_Target]], "هدف", "غیر هدف")</f>
        <v>غیر هدف</v>
      </c>
      <c r="I10" s="19">
        <f>(Table2[[#This Row],[Actual_Sale_Price]] - Table2[[#This Row],[Total_Unit_Cost]]) * Table2[[#This Row],[Sold_Quantity]]</f>
        <v>410499.99999999994</v>
      </c>
      <c r="J10" s="19">
        <f>IFERROR(INDEX(Table1[Total_Purchase_Unit_Price], MATCH(Table2[[#This Row],[Product_Name]], Table1[Product_Name], 0)), 0)</f>
        <v>313166.66666666669</v>
      </c>
      <c r="K10" s="8">
        <f>IFERROR((Table2[[#This Row],[Actual_Sale_Price]] - Table2[[#This Row],[Total_Unit_Cost]]) / Table2[[#This Row],[Total_Unit_Cost]], 0)</f>
        <v>0.43693453964874923</v>
      </c>
      <c r="L10" s="2"/>
    </row>
    <row r="11" spans="1:12" x14ac:dyDescent="0.25">
      <c r="A11" s="18" t="s">
        <v>22</v>
      </c>
      <c r="B11" s="18" t="s">
        <v>32</v>
      </c>
      <c r="C11" s="18">
        <v>2</v>
      </c>
      <c r="D11" s="19">
        <v>1</v>
      </c>
      <c r="E11" s="19">
        <v>650000</v>
      </c>
      <c r="F11" s="19">
        <f>Table2[[#This Row],[Actual_Sale_Price]]*Table2[[#This Row],[Sold_Quantity]]</f>
        <v>650000</v>
      </c>
      <c r="G11" s="19">
        <v>2</v>
      </c>
      <c r="H11" s="1" t="str">
        <f>IF(Table2[[#This Row],[Sold_Quantity]]&gt;=Table2[[#This Row],[Monthly_Sales_Target]], "هدف", "غیر هدف")</f>
        <v>غیر هدف</v>
      </c>
      <c r="I11" s="19">
        <f>(Table2[[#This Row],[Actual_Sale_Price]] - Table2[[#This Row],[Total_Unit_Cost]]) * Table2[[#This Row],[Sold_Quantity]]</f>
        <v>225000</v>
      </c>
      <c r="J11" s="19">
        <f>IFERROR(INDEX(Table1[Total_Purchase_Unit_Price], MATCH(Table2[[#This Row],[Product_Name]], Table1[Product_Name], 0)), 0)</f>
        <v>425000</v>
      </c>
      <c r="K11" s="8">
        <f>IFERROR((Table2[[#This Row],[Actual_Sale_Price]] - Table2[[#This Row],[Total_Unit_Cost]]) / Table2[[#This Row],[Total_Unit_Cost]], 0)</f>
        <v>0.52941176470588236</v>
      </c>
      <c r="L11" s="2"/>
    </row>
    <row r="12" spans="1:12" x14ac:dyDescent="0.25">
      <c r="A12" s="18" t="s">
        <v>26</v>
      </c>
      <c r="B12" s="18" t="s">
        <v>30</v>
      </c>
      <c r="C12" s="18">
        <v>3</v>
      </c>
      <c r="D12" s="19">
        <v>3</v>
      </c>
      <c r="E12" s="19">
        <v>180000</v>
      </c>
      <c r="F12" s="19">
        <f>Table2[[#This Row],[Actual_Sale_Price]]*Table2[[#This Row],[Sold_Quantity]]</f>
        <v>540000</v>
      </c>
      <c r="G12" s="19">
        <v>5</v>
      </c>
      <c r="H12" s="1" t="str">
        <f>IF(Table2[[#This Row],[Sold_Quantity]]&gt;=Table2[[#This Row],[Monthly_Sales_Target]], "هدف", "غیر هدف")</f>
        <v>غیر هدف</v>
      </c>
      <c r="I12" s="19">
        <f>(Table2[[#This Row],[Actual_Sale_Price]] - Table2[[#This Row],[Total_Unit_Cost]]) * Table2[[#This Row],[Sold_Quantity]]</f>
        <v>105000</v>
      </c>
      <c r="J12" s="19">
        <f>IFERROR(INDEX(Table1[Total_Purchase_Unit_Price], MATCH(Table2[[#This Row],[Product_Name]], Table1[Product_Name], 0)), 0)</f>
        <v>145000</v>
      </c>
      <c r="K12" s="8">
        <f>IFERROR((Table2[[#This Row],[Actual_Sale_Price]] - Table2[[#This Row],[Total_Unit_Cost]]) / Table2[[#This Row],[Total_Unit_Cost]], 0)</f>
        <v>0.2413793103448276</v>
      </c>
      <c r="L12" s="2"/>
    </row>
    <row r="13" spans="1:12" x14ac:dyDescent="0.25">
      <c r="A13" s="18" t="s">
        <v>0</v>
      </c>
      <c r="B13" s="18" t="s">
        <v>33</v>
      </c>
      <c r="C13" s="18">
        <v>5</v>
      </c>
      <c r="D13" s="19">
        <v>2</v>
      </c>
      <c r="E13" s="19">
        <v>300000</v>
      </c>
      <c r="F13" s="19">
        <f>Table2[[#This Row],[Actual_Sale_Price]]*Table2[[#This Row],[Sold_Quantity]]</f>
        <v>600000</v>
      </c>
      <c r="G13" s="19">
        <v>2</v>
      </c>
      <c r="H13" s="1" t="str">
        <f>IF(Table2[[#This Row],[Sold_Quantity]]&gt;=Table2[[#This Row],[Monthly_Sales_Target]], "هدف", "غیر هدف")</f>
        <v>هدف</v>
      </c>
      <c r="I13" s="19">
        <f>(Table2[[#This Row],[Actual_Sale_Price]] - Table2[[#This Row],[Total_Unit_Cost]]) * Table2[[#This Row],[Sold_Quantity]]</f>
        <v>235555.55555555556</v>
      </c>
      <c r="J13" s="19">
        <f>IFERROR(INDEX(Table1[Total_Purchase_Unit_Price], MATCH(Table2[[#This Row],[Product_Name]], Table1[Product_Name], 0)), 0)</f>
        <v>182222.22222222222</v>
      </c>
      <c r="K13" s="8">
        <f>IFERROR((Table2[[#This Row],[Actual_Sale_Price]] - Table2[[#This Row],[Total_Unit_Cost]]) / Table2[[#This Row],[Total_Unit_Cost]], 0)</f>
        <v>0.64634146341463417</v>
      </c>
      <c r="L13" s="2"/>
    </row>
    <row r="14" spans="1:12" x14ac:dyDescent="0.25">
      <c r="A14" s="18" t="s">
        <v>0</v>
      </c>
      <c r="B14" s="18" t="s">
        <v>34</v>
      </c>
      <c r="C14" s="18">
        <v>6</v>
      </c>
      <c r="D14" s="19">
        <v>1</v>
      </c>
      <c r="E14" s="19">
        <v>280000</v>
      </c>
      <c r="F14" s="19">
        <f>Table2[[#This Row],[Actual_Sale_Price]]*Table2[[#This Row],[Sold_Quantity]]</f>
        <v>280000</v>
      </c>
      <c r="G14" s="19">
        <v>0</v>
      </c>
      <c r="H14" s="1" t="str">
        <f>IF(Table2[[#This Row],[Sold_Quantity]]&gt;=Table2[[#This Row],[Monthly_Sales_Target]], "هدف", "غیر هدف")</f>
        <v>هدف</v>
      </c>
      <c r="I14" s="19">
        <f>(Table2[[#This Row],[Actual_Sale_Price]] - Table2[[#This Row],[Total_Unit_Cost]]) * Table2[[#This Row],[Sold_Quantity]]</f>
        <v>97777.777777777781</v>
      </c>
      <c r="J14" s="19">
        <f>IFERROR(INDEX(Table1[Total_Purchase_Unit_Price], MATCH(Table2[[#This Row],[Product_Name]], Table1[Product_Name], 0)), 0)</f>
        <v>182222.22222222222</v>
      </c>
      <c r="K14" s="8">
        <f>IFERROR((Table2[[#This Row],[Actual_Sale_Price]] - Table2[[#This Row],[Total_Unit_Cost]]) / Table2[[#This Row],[Total_Unit_Cost]], 0)</f>
        <v>0.53658536585365857</v>
      </c>
      <c r="L14" s="2"/>
    </row>
    <row r="15" spans="1:12" x14ac:dyDescent="0.25">
      <c r="A15" s="18" t="s">
        <v>0</v>
      </c>
      <c r="B15" s="18" t="s">
        <v>35</v>
      </c>
      <c r="C15" s="18">
        <v>7</v>
      </c>
      <c r="D15" s="19">
        <v>1</v>
      </c>
      <c r="E15" s="19">
        <v>300000</v>
      </c>
      <c r="F15" s="19">
        <f>Table2[[#This Row],[Actual_Sale_Price]]*Table2[[#This Row],[Sold_Quantity]]</f>
        <v>300000</v>
      </c>
      <c r="G15" s="19">
        <v>0</v>
      </c>
      <c r="H15" s="1" t="str">
        <f>IF(Table2[[#This Row],[Sold_Quantity]]&gt;=Table2[[#This Row],[Monthly_Sales_Target]], "هدف", "غیر هدف")</f>
        <v>هدف</v>
      </c>
      <c r="I15" s="19">
        <f>(Table2[[#This Row],[Actual_Sale_Price]] - Table2[[#This Row],[Total_Unit_Cost]]) * Table2[[#This Row],[Sold_Quantity]]</f>
        <v>117777.77777777778</v>
      </c>
      <c r="J15" s="19">
        <f>IFERROR(INDEX(Table1[Total_Purchase_Unit_Price], MATCH(Table2[[#This Row],[Product_Name]], Table1[Product_Name], 0)), 0)</f>
        <v>182222.22222222222</v>
      </c>
      <c r="K15" s="8">
        <f>IFERROR((Table2[[#This Row],[Actual_Sale_Price]] - Table2[[#This Row],[Total_Unit_Cost]]) / Table2[[#This Row],[Total_Unit_Cost]], 0)</f>
        <v>0.64634146341463417</v>
      </c>
      <c r="L15" s="2"/>
    </row>
    <row r="16" spans="1:12" x14ac:dyDescent="0.25">
      <c r="A16" s="18" t="s">
        <v>3</v>
      </c>
      <c r="B16" s="18" t="s">
        <v>33</v>
      </c>
      <c r="C16" s="18">
        <v>5</v>
      </c>
      <c r="D16" s="19">
        <v>3</v>
      </c>
      <c r="E16" s="19">
        <v>50000</v>
      </c>
      <c r="F16" s="19">
        <f>Table2[[#This Row],[Actual_Sale_Price]]*Table2[[#This Row],[Sold_Quantity]]</f>
        <v>150000</v>
      </c>
      <c r="G16" s="19">
        <v>3</v>
      </c>
      <c r="H16" s="1" t="str">
        <f>IF(Table2[[#This Row],[Sold_Quantity]]&gt;=Table2[[#This Row],[Monthly_Sales_Target]], "هدف", "غیر هدف")</f>
        <v>هدف</v>
      </c>
      <c r="I16" s="19">
        <f>(Table2[[#This Row],[Actual_Sale_Price]] - Table2[[#This Row],[Total_Unit_Cost]]) * Table2[[#This Row],[Sold_Quantity]]</f>
        <v>38333.333333333343</v>
      </c>
      <c r="J16" s="19">
        <f>IFERROR(INDEX(Table1[Total_Purchase_Unit_Price], MATCH(Table2[[#This Row],[Product_Name]], Table1[Product_Name], 0)), 0)</f>
        <v>37222.222222222219</v>
      </c>
      <c r="K16" s="8">
        <f>IFERROR((Table2[[#This Row],[Actual_Sale_Price]] - Table2[[#This Row],[Total_Unit_Cost]]) / Table2[[#This Row],[Total_Unit_Cost]], 0)</f>
        <v>0.34328358208955234</v>
      </c>
      <c r="L16" s="2"/>
    </row>
    <row r="17" spans="1:12" x14ac:dyDescent="0.25">
      <c r="A17" s="18" t="s">
        <v>3</v>
      </c>
      <c r="B17" s="18" t="s">
        <v>34</v>
      </c>
      <c r="C17" s="18">
        <v>6</v>
      </c>
      <c r="D17" s="19">
        <v>3</v>
      </c>
      <c r="E17" s="19">
        <v>55000</v>
      </c>
      <c r="F17" s="19">
        <f>Table2[[#This Row],[Actual_Sale_Price]]*Table2[[#This Row],[Sold_Quantity]]</f>
        <v>165000</v>
      </c>
      <c r="G17" s="19">
        <v>5</v>
      </c>
      <c r="H17" s="1" t="str">
        <f>IF(Table2[[#This Row],[Sold_Quantity]]&gt;=Table2[[#This Row],[Monthly_Sales_Target]], "هدف", "غیر هدف")</f>
        <v>غیر هدف</v>
      </c>
      <c r="I17" s="19">
        <f>(Table2[[#This Row],[Actual_Sale_Price]] - Table2[[#This Row],[Total_Unit_Cost]]) * Table2[[#This Row],[Sold_Quantity]]</f>
        <v>53333.333333333343</v>
      </c>
      <c r="J17" s="19">
        <f>IFERROR(INDEX(Table1[Total_Purchase_Unit_Price], MATCH(Table2[[#This Row],[Product_Name]], Table1[Product_Name], 0)), 0)</f>
        <v>37222.222222222219</v>
      </c>
      <c r="K17" s="8">
        <f>IFERROR((Table2[[#This Row],[Actual_Sale_Price]] - Table2[[#This Row],[Total_Unit_Cost]]) / Table2[[#This Row],[Total_Unit_Cost]], 0)</f>
        <v>0.47761194029850756</v>
      </c>
      <c r="L17" s="2"/>
    </row>
    <row r="18" spans="1:12" x14ac:dyDescent="0.25">
      <c r="A18" s="18" t="s">
        <v>3</v>
      </c>
      <c r="B18" s="18" t="s">
        <v>35</v>
      </c>
      <c r="C18" s="18">
        <v>7</v>
      </c>
      <c r="D18" s="19">
        <v>4</v>
      </c>
      <c r="E18" s="19">
        <v>60000</v>
      </c>
      <c r="F18" s="19">
        <f>Table2[[#This Row],[Actual_Sale_Price]]*Table2[[#This Row],[Sold_Quantity]]</f>
        <v>240000</v>
      </c>
      <c r="G18" s="19">
        <v>3</v>
      </c>
      <c r="H18" s="1" t="str">
        <f>IF(Table2[[#This Row],[Sold_Quantity]]&gt;=Table2[[#This Row],[Monthly_Sales_Target]], "هدف", "غیر هدف")</f>
        <v>هدف</v>
      </c>
      <c r="I18" s="19">
        <f>(Table2[[#This Row],[Actual_Sale_Price]] - Table2[[#This Row],[Total_Unit_Cost]]) * Table2[[#This Row],[Sold_Quantity]]</f>
        <v>91111.111111111124</v>
      </c>
      <c r="J18" s="19">
        <f>IFERROR(INDEX(Table1[Total_Purchase_Unit_Price], MATCH(Table2[[#This Row],[Product_Name]], Table1[Product_Name], 0)), 0)</f>
        <v>37222.222222222219</v>
      </c>
      <c r="K18" s="8">
        <f>IFERROR((Table2[[#This Row],[Actual_Sale_Price]] - Table2[[#This Row],[Total_Unit_Cost]]) / Table2[[#This Row],[Total_Unit_Cost]], 0)</f>
        <v>0.61194029850746279</v>
      </c>
      <c r="L18" s="2"/>
    </row>
    <row r="19" spans="1:12" x14ac:dyDescent="0.25">
      <c r="A19" s="18" t="s">
        <v>3</v>
      </c>
      <c r="B19" s="18" t="s">
        <v>36</v>
      </c>
      <c r="C19" s="18">
        <v>8</v>
      </c>
      <c r="D19" s="19">
        <v>1</v>
      </c>
      <c r="E19" s="19">
        <v>55000</v>
      </c>
      <c r="F19" s="19">
        <f>Table2[[#This Row],[Actual_Sale_Price]]*Table2[[#This Row],[Sold_Quantity]]</f>
        <v>55000</v>
      </c>
      <c r="G19" s="19">
        <v>1</v>
      </c>
      <c r="H19" s="1" t="str">
        <f>IF(Table2[[#This Row],[Sold_Quantity]]&gt;=Table2[[#This Row],[Monthly_Sales_Target]], "هدف", "غیر هدف")</f>
        <v>هدف</v>
      </c>
      <c r="I19" s="19">
        <f>(Table2[[#This Row],[Actual_Sale_Price]] - Table2[[#This Row],[Total_Unit_Cost]]) * Table2[[#This Row],[Sold_Quantity]]</f>
        <v>17777.777777777781</v>
      </c>
      <c r="J19" s="19">
        <f>IFERROR(INDEX(Table1[Total_Purchase_Unit_Price], MATCH(Table2[[#This Row],[Product_Name]], Table1[Product_Name], 0)), 0)</f>
        <v>37222.222222222219</v>
      </c>
      <c r="K19" s="8">
        <f>IFERROR((Table2[[#This Row],[Actual_Sale_Price]] - Table2[[#This Row],[Total_Unit_Cost]]) / Table2[[#This Row],[Total_Unit_Cost]], 0)</f>
        <v>0.47761194029850756</v>
      </c>
      <c r="L19" s="2"/>
    </row>
    <row r="20" spans="1:12" x14ac:dyDescent="0.25">
      <c r="A20" s="18" t="s">
        <v>6</v>
      </c>
      <c r="B20" s="18" t="s">
        <v>33</v>
      </c>
      <c r="C20" s="18">
        <v>5</v>
      </c>
      <c r="D20" s="19">
        <v>3</v>
      </c>
      <c r="E20" s="19">
        <v>220000</v>
      </c>
      <c r="F20" s="19">
        <f>Table2[[#This Row],[Actual_Sale_Price]]*Table2[[#This Row],[Sold_Quantity]]</f>
        <v>660000</v>
      </c>
      <c r="G20" s="19">
        <v>1</v>
      </c>
      <c r="H20" s="1" t="str">
        <f>IF(Table2[[#This Row],[Sold_Quantity]]&gt;=Table2[[#This Row],[Monthly_Sales_Target]], "هدف", "غیر هدف")</f>
        <v>هدف</v>
      </c>
      <c r="I20" s="19">
        <f>(Table2[[#This Row],[Actual_Sale_Price]] - Table2[[#This Row],[Total_Unit_Cost]]) * Table2[[#This Row],[Sold_Quantity]]</f>
        <v>145000.00000000003</v>
      </c>
      <c r="J20" s="19">
        <f>IFERROR(INDEX(Table1[Total_Purchase_Unit_Price], MATCH(Table2[[#This Row],[Product_Name]], Table1[Product_Name], 0)), 0)</f>
        <v>171666.66666666666</v>
      </c>
      <c r="K20" s="8">
        <f>IFERROR((Table2[[#This Row],[Actual_Sale_Price]] - Table2[[#This Row],[Total_Unit_Cost]]) / Table2[[#This Row],[Total_Unit_Cost]], 0)</f>
        <v>0.28155339805825252</v>
      </c>
      <c r="L20" s="2"/>
    </row>
    <row r="21" spans="1:12" x14ac:dyDescent="0.25">
      <c r="A21" s="18" t="s">
        <v>6</v>
      </c>
      <c r="B21" s="18" t="s">
        <v>34</v>
      </c>
      <c r="C21" s="18">
        <v>6</v>
      </c>
      <c r="D21" s="19">
        <v>1</v>
      </c>
      <c r="E21" s="19">
        <v>250000</v>
      </c>
      <c r="F21" s="19">
        <f>Table2[[#This Row],[Actual_Sale_Price]]*Table2[[#This Row],[Sold_Quantity]]</f>
        <v>250000</v>
      </c>
      <c r="G21" s="19">
        <v>0</v>
      </c>
      <c r="H21" s="1" t="str">
        <f>IF(Table2[[#This Row],[Sold_Quantity]]&gt;=Table2[[#This Row],[Monthly_Sales_Target]], "هدف", "غیر هدف")</f>
        <v>هدف</v>
      </c>
      <c r="I21" s="19">
        <f>(Table2[[#This Row],[Actual_Sale_Price]] - Table2[[#This Row],[Total_Unit_Cost]]) * Table2[[#This Row],[Sold_Quantity]]</f>
        <v>78333.333333333343</v>
      </c>
      <c r="J21" s="19">
        <f>IFERROR(INDEX(Table1[Total_Purchase_Unit_Price], MATCH(Table2[[#This Row],[Product_Name]], Table1[Product_Name], 0)), 0)</f>
        <v>171666.66666666666</v>
      </c>
      <c r="K21" s="8">
        <f>IFERROR((Table2[[#This Row],[Actual_Sale_Price]] - Table2[[#This Row],[Total_Unit_Cost]]) / Table2[[#This Row],[Total_Unit_Cost]], 0)</f>
        <v>0.45631067961165056</v>
      </c>
      <c r="L21" s="2"/>
    </row>
    <row r="22" spans="1:12" x14ac:dyDescent="0.25">
      <c r="A22" s="18" t="s">
        <v>10</v>
      </c>
      <c r="B22" s="18" t="s">
        <v>29</v>
      </c>
      <c r="C22" s="18">
        <v>4</v>
      </c>
      <c r="D22" s="19">
        <v>2</v>
      </c>
      <c r="E22" s="19">
        <v>200000</v>
      </c>
      <c r="F22" s="19">
        <f>Table2[[#This Row],[Actual_Sale_Price]]*Table2[[#This Row],[Sold_Quantity]]</f>
        <v>400000</v>
      </c>
      <c r="G22" s="19">
        <v>3</v>
      </c>
      <c r="H22" s="1" t="str">
        <f>IF(Table2[[#This Row],[Sold_Quantity]]&gt;=Table2[[#This Row],[Monthly_Sales_Target]], "هدف", "غیر هدف")</f>
        <v>غیر هدف</v>
      </c>
      <c r="I22" s="19">
        <f>(Table2[[#This Row],[Actual_Sale_Price]] - Table2[[#This Row],[Total_Unit_Cost]]) * Table2[[#This Row],[Sold_Quantity]]</f>
        <v>50000</v>
      </c>
      <c r="J22" s="19">
        <f>IFERROR(INDEX(Table1[Total_Purchase_Unit_Price], MATCH(Table2[[#This Row],[Product_Name]], Table1[Product_Name], 0)), 0)</f>
        <v>175000</v>
      </c>
      <c r="K22" s="8">
        <f>IFERROR((Table2[[#This Row],[Actual_Sale_Price]] - Table2[[#This Row],[Total_Unit_Cost]]) / Table2[[#This Row],[Total_Unit_Cost]], 0)</f>
        <v>0.14285714285714285</v>
      </c>
      <c r="L22" s="2"/>
    </row>
    <row r="23" spans="1:12" x14ac:dyDescent="0.25">
      <c r="A23" s="18" t="s">
        <v>10</v>
      </c>
      <c r="B23" s="18" t="s">
        <v>34</v>
      </c>
      <c r="C23" s="18">
        <v>6</v>
      </c>
      <c r="D23" s="19">
        <v>1</v>
      </c>
      <c r="E23" s="19">
        <v>250000</v>
      </c>
      <c r="F23" s="19">
        <f>Table2[[#This Row],[Actual_Sale_Price]]*Table2[[#This Row],[Sold_Quantity]]</f>
        <v>250000</v>
      </c>
      <c r="G23" s="19">
        <v>1</v>
      </c>
      <c r="H23" s="1" t="str">
        <f>IF(Table2[[#This Row],[Sold_Quantity]]&gt;=Table2[[#This Row],[Monthly_Sales_Target]], "هدف", "غیر هدف")</f>
        <v>هدف</v>
      </c>
      <c r="I23" s="19">
        <f>(Table2[[#This Row],[Actual_Sale_Price]] - Table2[[#This Row],[Total_Unit_Cost]]) * Table2[[#This Row],[Sold_Quantity]]</f>
        <v>75000</v>
      </c>
      <c r="J23" s="19">
        <f>IFERROR(INDEX(Table1[Total_Purchase_Unit_Price], MATCH(Table2[[#This Row],[Product_Name]], Table1[Product_Name], 0)), 0)</f>
        <v>175000</v>
      </c>
      <c r="K23" s="8">
        <f>IFERROR((Table2[[#This Row],[Actual_Sale_Price]] - Table2[[#This Row],[Total_Unit_Cost]]) / Table2[[#This Row],[Total_Unit_Cost]], 0)</f>
        <v>0.42857142857142855</v>
      </c>
      <c r="L23" s="2"/>
    </row>
    <row r="24" spans="1:12" x14ac:dyDescent="0.25">
      <c r="A24" s="18" t="s">
        <v>13</v>
      </c>
      <c r="B24" s="18" t="s">
        <v>29</v>
      </c>
      <c r="C24" s="18">
        <v>4</v>
      </c>
      <c r="D24" s="19">
        <v>1</v>
      </c>
      <c r="E24" s="19">
        <v>250000</v>
      </c>
      <c r="F24" s="19">
        <f>Table2[[#This Row],[Actual_Sale_Price]]*Table2[[#This Row],[Sold_Quantity]]</f>
        <v>250000</v>
      </c>
      <c r="G24" s="19">
        <v>1</v>
      </c>
      <c r="H24" s="1" t="str">
        <f>IF(Table2[[#This Row],[Sold_Quantity]]&gt;=Table2[[#This Row],[Monthly_Sales_Target]], "هدف", "غیر هدف")</f>
        <v>هدف</v>
      </c>
      <c r="I24" s="19">
        <f>(Table2[[#This Row],[Actual_Sale_Price]] - Table2[[#This Row],[Total_Unit_Cost]]) * Table2[[#This Row],[Sold_Quantity]]</f>
        <v>60000</v>
      </c>
      <c r="J24" s="19">
        <f>IFERROR(INDEX(Table1[Total_Purchase_Unit_Price], MATCH(Table2[[#This Row],[Product_Name]], Table1[Product_Name], 0)), 0)</f>
        <v>190000</v>
      </c>
      <c r="K24" s="8">
        <f>IFERROR((Table2[[#This Row],[Actual_Sale_Price]] - Table2[[#This Row],[Total_Unit_Cost]]) / Table2[[#This Row],[Total_Unit_Cost]], 0)</f>
        <v>0.31578947368421051</v>
      </c>
      <c r="L24" s="2"/>
    </row>
    <row r="25" spans="1:12" x14ac:dyDescent="0.25">
      <c r="A25" s="18" t="s">
        <v>13</v>
      </c>
      <c r="B25" s="18" t="s">
        <v>35</v>
      </c>
      <c r="C25" s="18">
        <v>7</v>
      </c>
      <c r="D25" s="19">
        <v>1</v>
      </c>
      <c r="E25" s="19">
        <v>220000</v>
      </c>
      <c r="F25" s="19">
        <f>Table2[[#This Row],[Actual_Sale_Price]]*Table2[[#This Row],[Sold_Quantity]]</f>
        <v>220000</v>
      </c>
      <c r="G25" s="19">
        <v>0</v>
      </c>
      <c r="H25" s="1" t="str">
        <f>IF(Table2[[#This Row],[Sold_Quantity]]&gt;=Table2[[#This Row],[Monthly_Sales_Target]], "هدف", "غیر هدف")</f>
        <v>هدف</v>
      </c>
      <c r="I25" s="19">
        <f>(Table2[[#This Row],[Actual_Sale_Price]] - Table2[[#This Row],[Total_Unit_Cost]]) * Table2[[#This Row],[Sold_Quantity]]</f>
        <v>30000</v>
      </c>
      <c r="J25" s="19">
        <f>IFERROR(INDEX(Table1[Total_Purchase_Unit_Price], MATCH(Table2[[#This Row],[Product_Name]], Table1[Product_Name], 0)), 0)</f>
        <v>190000</v>
      </c>
      <c r="K25" s="8">
        <f>IFERROR((Table2[[#This Row],[Actual_Sale_Price]] - Table2[[#This Row],[Total_Unit_Cost]]) / Table2[[#This Row],[Total_Unit_Cost]], 0)</f>
        <v>0.15789473684210525</v>
      </c>
      <c r="L25" s="2"/>
    </row>
    <row r="26" spans="1:12" x14ac:dyDescent="0.25">
      <c r="A26" s="18" t="s">
        <v>15</v>
      </c>
      <c r="B26" s="18" t="s">
        <v>33</v>
      </c>
      <c r="C26" s="18">
        <v>5</v>
      </c>
      <c r="D26" s="19">
        <v>2</v>
      </c>
      <c r="E26" s="19">
        <v>450000</v>
      </c>
      <c r="F26" s="19">
        <f>Table2[[#This Row],[Actual_Sale_Price]]*Table2[[#This Row],[Sold_Quantity]]</f>
        <v>900000</v>
      </c>
      <c r="G26" s="19">
        <v>2</v>
      </c>
      <c r="H26" s="1" t="str">
        <f>IF(Table2[[#This Row],[Sold_Quantity]]&gt;=Table2[[#This Row],[Monthly_Sales_Target]], "هدف", "غیر هدف")</f>
        <v>هدف</v>
      </c>
      <c r="I26" s="19">
        <f>(Table2[[#This Row],[Actual_Sale_Price]] - Table2[[#This Row],[Total_Unit_Cost]]) * Table2[[#This Row],[Sold_Quantity]]</f>
        <v>320000</v>
      </c>
      <c r="J26" s="19">
        <f>IFERROR(INDEX(Table1[Total_Purchase_Unit_Price], MATCH(Table2[[#This Row],[Product_Name]], Table1[Product_Name], 0)), 0)</f>
        <v>290000</v>
      </c>
      <c r="K26" s="8">
        <f>IFERROR((Table2[[#This Row],[Actual_Sale_Price]] - Table2[[#This Row],[Total_Unit_Cost]]) / Table2[[#This Row],[Total_Unit_Cost]], 0)</f>
        <v>0.55172413793103448</v>
      </c>
      <c r="L26" s="2"/>
    </row>
    <row r="27" spans="1:12" x14ac:dyDescent="0.25">
      <c r="A27" s="18" t="s">
        <v>15</v>
      </c>
      <c r="B27" s="18" t="s">
        <v>35</v>
      </c>
      <c r="C27" s="18">
        <v>7</v>
      </c>
      <c r="D27" s="19">
        <v>1</v>
      </c>
      <c r="E27" s="19">
        <v>450000</v>
      </c>
      <c r="F27" s="19">
        <f>Table2[[#This Row],[Actual_Sale_Price]]*Table2[[#This Row],[Sold_Quantity]]</f>
        <v>450000</v>
      </c>
      <c r="G27" s="19">
        <v>0</v>
      </c>
      <c r="H27" s="1" t="str">
        <f>IF(Table2[[#This Row],[Sold_Quantity]]&gt;=Table2[[#This Row],[Monthly_Sales_Target]], "هدف", "غیر هدف")</f>
        <v>هدف</v>
      </c>
      <c r="I27" s="19">
        <f>(Table2[[#This Row],[Actual_Sale_Price]] - Table2[[#This Row],[Total_Unit_Cost]]) * Table2[[#This Row],[Sold_Quantity]]</f>
        <v>160000</v>
      </c>
      <c r="J27" s="19">
        <f>IFERROR(INDEX(Table1[Total_Purchase_Unit_Price], MATCH(Table2[[#This Row],[Product_Name]], Table1[Product_Name], 0)), 0)</f>
        <v>290000</v>
      </c>
      <c r="K27" s="8">
        <f>IFERROR((Table2[[#This Row],[Actual_Sale_Price]] - Table2[[#This Row],[Total_Unit_Cost]]) / Table2[[#This Row],[Total_Unit_Cost]], 0)</f>
        <v>0.55172413793103448</v>
      </c>
      <c r="L27" s="2"/>
    </row>
    <row r="28" spans="1:12" x14ac:dyDescent="0.25">
      <c r="A28" s="18" t="s">
        <v>21</v>
      </c>
      <c r="B28" s="18" t="s">
        <v>30</v>
      </c>
      <c r="C28" s="18">
        <v>3</v>
      </c>
      <c r="D28" s="19">
        <v>2</v>
      </c>
      <c r="E28" s="19">
        <v>400000</v>
      </c>
      <c r="F28" s="19">
        <f>Table2[[#This Row],[Actual_Sale_Price]]*Table2[[#This Row],[Sold_Quantity]]</f>
        <v>800000</v>
      </c>
      <c r="G28" s="19">
        <v>2</v>
      </c>
      <c r="H28" s="1" t="str">
        <f>IF(Table2[[#This Row],[Sold_Quantity]]&gt;=Table2[[#This Row],[Monthly_Sales_Target]], "هدف", "غیر هدف")</f>
        <v>هدف</v>
      </c>
      <c r="I28" s="19">
        <f>(Table2[[#This Row],[Actual_Sale_Price]] - Table2[[#This Row],[Total_Unit_Cost]]) * Table2[[#This Row],[Sold_Quantity]]</f>
        <v>173666.66666666663</v>
      </c>
      <c r="J28" s="19">
        <f>IFERROR(INDEX(Table1[Total_Purchase_Unit_Price], MATCH(Table2[[#This Row],[Product_Name]], Table1[Product_Name], 0)), 0)</f>
        <v>313166.66666666669</v>
      </c>
      <c r="K28" s="8">
        <f>IFERROR((Table2[[#This Row],[Actual_Sale_Price]] - Table2[[#This Row],[Total_Unit_Cost]]) / Table2[[#This Row],[Total_Unit_Cost]], 0)</f>
        <v>0.27727514635444378</v>
      </c>
      <c r="L28" s="2"/>
    </row>
    <row r="29" spans="1:12" x14ac:dyDescent="0.25">
      <c r="A29" s="18" t="s">
        <v>21</v>
      </c>
      <c r="B29" s="18" t="s">
        <v>33</v>
      </c>
      <c r="C29" s="18">
        <v>5</v>
      </c>
      <c r="D29" s="19">
        <v>1</v>
      </c>
      <c r="E29" s="19">
        <v>450000</v>
      </c>
      <c r="F29" s="19">
        <f>Table2[[#This Row],[Actual_Sale_Price]]*Table2[[#This Row],[Sold_Quantity]]</f>
        <v>450000</v>
      </c>
      <c r="G29" s="19">
        <v>0</v>
      </c>
      <c r="H29" s="1" t="str">
        <f>IF(Table2[[#This Row],[Sold_Quantity]]&gt;=Table2[[#This Row],[Monthly_Sales_Target]], "هدف", "غیر هدف")</f>
        <v>هدف</v>
      </c>
      <c r="I29" s="19">
        <f>(Table2[[#This Row],[Actual_Sale_Price]] - Table2[[#This Row],[Total_Unit_Cost]]) * Table2[[#This Row],[Sold_Quantity]]</f>
        <v>136833.33333333331</v>
      </c>
      <c r="J29" s="19">
        <f>IFERROR(INDEX(Table1[Total_Purchase_Unit_Price], MATCH(Table2[[#This Row],[Product_Name]], Table1[Product_Name], 0)), 0)</f>
        <v>313166.66666666669</v>
      </c>
      <c r="K29" s="8">
        <f>IFERROR((Table2[[#This Row],[Actual_Sale_Price]] - Table2[[#This Row],[Total_Unit_Cost]]) / Table2[[#This Row],[Total_Unit_Cost]], 0)</f>
        <v>0.43693453964874923</v>
      </c>
      <c r="L29" s="2"/>
    </row>
    <row r="30" spans="1:12" x14ac:dyDescent="0.25">
      <c r="A30" s="18" t="s">
        <v>17</v>
      </c>
      <c r="B30" s="18" t="s">
        <v>30</v>
      </c>
      <c r="C30" s="18">
        <v>3</v>
      </c>
      <c r="D30" s="19">
        <v>1</v>
      </c>
      <c r="E30" s="19">
        <v>480000</v>
      </c>
      <c r="F30" s="19">
        <f>Table2[[#This Row],[Actual_Sale_Price]]*Table2[[#This Row],[Sold_Quantity]]</f>
        <v>480000</v>
      </c>
      <c r="G30" s="19">
        <v>2</v>
      </c>
      <c r="H30" s="1" t="str">
        <f>IF(Table2[[#This Row],[Sold_Quantity]]&gt;=Table2[[#This Row],[Monthly_Sales_Target]], "هدف", "غیر هدف")</f>
        <v>غیر هدف</v>
      </c>
      <c r="I30" s="19">
        <f>(Table2[[#This Row],[Actual_Sale_Price]] - Table2[[#This Row],[Total_Unit_Cost]]) * Table2[[#This Row],[Sold_Quantity]]</f>
        <v>180000</v>
      </c>
      <c r="J30" s="19">
        <f>IFERROR(INDEX(Table1[Total_Purchase_Unit_Price], MATCH(Table2[[#This Row],[Product_Name]], Table1[Product_Name], 0)), 0)</f>
        <v>300000</v>
      </c>
      <c r="K30" s="8">
        <f>IFERROR((Table2[[#This Row],[Actual_Sale_Price]] - Table2[[#This Row],[Total_Unit_Cost]]) / Table2[[#This Row],[Total_Unit_Cost]], 0)</f>
        <v>0.6</v>
      </c>
      <c r="L30" s="2"/>
    </row>
    <row r="31" spans="1:12" x14ac:dyDescent="0.25">
      <c r="A31" s="18" t="s">
        <v>17</v>
      </c>
      <c r="B31" s="18" t="s">
        <v>33</v>
      </c>
      <c r="C31" s="18">
        <v>5</v>
      </c>
      <c r="D31" s="19">
        <v>2</v>
      </c>
      <c r="E31" s="19">
        <v>450000</v>
      </c>
      <c r="F31" s="19">
        <f>Table2[[#This Row],[Actual_Sale_Price]]*Table2[[#This Row],[Sold_Quantity]]</f>
        <v>900000</v>
      </c>
      <c r="G31" s="19">
        <v>1</v>
      </c>
      <c r="H31" s="1" t="str">
        <f>IF(Table2[[#This Row],[Sold_Quantity]]&gt;=Table2[[#This Row],[Monthly_Sales_Target]], "هدف", "غیر هدف")</f>
        <v>هدف</v>
      </c>
      <c r="I31" s="19">
        <f>(Table2[[#This Row],[Actual_Sale_Price]] - Table2[[#This Row],[Total_Unit_Cost]]) * Table2[[#This Row],[Sold_Quantity]]</f>
        <v>300000</v>
      </c>
      <c r="J31" s="19">
        <f>IFERROR(INDEX(Table1[Total_Purchase_Unit_Price], MATCH(Table2[[#This Row],[Product_Name]], Table1[Product_Name], 0)), 0)</f>
        <v>300000</v>
      </c>
      <c r="K31" s="8">
        <f>IFERROR((Table2[[#This Row],[Actual_Sale_Price]] - Table2[[#This Row],[Total_Unit_Cost]]) / Table2[[#This Row],[Total_Unit_Cost]], 0)</f>
        <v>0.5</v>
      </c>
      <c r="L31" s="2"/>
    </row>
    <row r="32" spans="1:12" x14ac:dyDescent="0.25">
      <c r="A32" s="18" t="s">
        <v>17</v>
      </c>
      <c r="B32" s="18" t="s">
        <v>37</v>
      </c>
      <c r="C32" s="18">
        <v>9</v>
      </c>
      <c r="D32" s="19">
        <v>1</v>
      </c>
      <c r="E32" s="19">
        <v>480000</v>
      </c>
      <c r="F32" s="19">
        <f>Table2[[#This Row],[Actual_Sale_Price]]*Table2[[#This Row],[Sold_Quantity]]</f>
        <v>480000</v>
      </c>
      <c r="G32" s="19">
        <v>0</v>
      </c>
      <c r="H32" s="1" t="str">
        <f>IF(Table2[[#This Row],[Sold_Quantity]]&gt;=Table2[[#This Row],[Monthly_Sales_Target]], "هدف", "غیر هدف")</f>
        <v>هدف</v>
      </c>
      <c r="I32" s="19">
        <f>(Table2[[#This Row],[Actual_Sale_Price]] - Table2[[#This Row],[Total_Unit_Cost]]) * Table2[[#This Row],[Sold_Quantity]]</f>
        <v>180000</v>
      </c>
      <c r="J32" s="19">
        <f>IFERROR(INDEX(Table1[Total_Purchase_Unit_Price], MATCH(Table2[[#This Row],[Product_Name]], Table1[Product_Name], 0)), 0)</f>
        <v>300000</v>
      </c>
      <c r="K32" s="8">
        <f>IFERROR((Table2[[#This Row],[Actual_Sale_Price]] - Table2[[#This Row],[Total_Unit_Cost]]) / Table2[[#This Row],[Total_Unit_Cost]], 0)</f>
        <v>0.6</v>
      </c>
      <c r="L32" s="2"/>
    </row>
    <row r="33" spans="1:12" x14ac:dyDescent="0.25">
      <c r="A33" s="18" t="s">
        <v>22</v>
      </c>
      <c r="B33" s="18" t="s">
        <v>30</v>
      </c>
      <c r="C33" s="18">
        <v>3</v>
      </c>
      <c r="D33" s="19">
        <v>2</v>
      </c>
      <c r="E33" s="19">
        <v>600000</v>
      </c>
      <c r="F33" s="19">
        <f>Table2[[#This Row],[Actual_Sale_Price]]*Table2[[#This Row],[Sold_Quantity]]</f>
        <v>1200000</v>
      </c>
      <c r="G33" s="19">
        <v>2</v>
      </c>
      <c r="H33" s="1" t="str">
        <f>IF(Table2[[#This Row],[Sold_Quantity]]&gt;=Table2[[#This Row],[Monthly_Sales_Target]], "هدف", "غیر هدف")</f>
        <v>هدف</v>
      </c>
      <c r="I33" s="19">
        <f>(Table2[[#This Row],[Actual_Sale_Price]] - Table2[[#This Row],[Total_Unit_Cost]]) * Table2[[#This Row],[Sold_Quantity]]</f>
        <v>350000</v>
      </c>
      <c r="J33" s="19">
        <f>IFERROR(INDEX(Table1[Total_Purchase_Unit_Price], MATCH(Table2[[#This Row],[Product_Name]], Table1[Product_Name], 0)), 0)</f>
        <v>425000</v>
      </c>
      <c r="K33" s="8">
        <f>IFERROR((Table2[[#This Row],[Actual_Sale_Price]] - Table2[[#This Row],[Total_Unit_Cost]]) / Table2[[#This Row],[Total_Unit_Cost]], 0)</f>
        <v>0.41176470588235292</v>
      </c>
      <c r="L33" s="2"/>
    </row>
    <row r="34" spans="1:12" x14ac:dyDescent="0.25">
      <c r="A34" s="18" t="s">
        <v>22</v>
      </c>
      <c r="B34" s="18" t="s">
        <v>33</v>
      </c>
      <c r="C34" s="18">
        <v>5</v>
      </c>
      <c r="D34" s="19">
        <v>1</v>
      </c>
      <c r="E34" s="19">
        <v>700000</v>
      </c>
      <c r="F34" s="19">
        <f>Table2[[#This Row],[Actual_Sale_Price]]*Table2[[#This Row],[Sold_Quantity]]</f>
        <v>700000</v>
      </c>
      <c r="G34" s="19">
        <v>0</v>
      </c>
      <c r="H34" s="1" t="str">
        <f>IF(Table2[[#This Row],[Sold_Quantity]]&gt;=Table2[[#This Row],[Monthly_Sales_Target]], "هدف", "غیر هدف")</f>
        <v>هدف</v>
      </c>
      <c r="I34" s="19">
        <f>(Table2[[#This Row],[Actual_Sale_Price]] - Table2[[#This Row],[Total_Unit_Cost]]) * Table2[[#This Row],[Sold_Quantity]]</f>
        <v>275000</v>
      </c>
      <c r="J34" s="19">
        <f>IFERROR(INDEX(Table1[Total_Purchase_Unit_Price], MATCH(Table2[[#This Row],[Product_Name]], Table1[Product_Name], 0)), 0)</f>
        <v>425000</v>
      </c>
      <c r="K34" s="8">
        <f>IFERROR((Table2[[#This Row],[Actual_Sale_Price]] - Table2[[#This Row],[Total_Unit_Cost]]) / Table2[[#This Row],[Total_Unit_Cost]], 0)</f>
        <v>0.6470588235294118</v>
      </c>
      <c r="L34" s="2"/>
    </row>
    <row r="35" spans="1:12" x14ac:dyDescent="0.25">
      <c r="A35" s="18" t="s">
        <v>26</v>
      </c>
      <c r="B35" s="18" t="s">
        <v>29</v>
      </c>
      <c r="C35" s="18">
        <v>4</v>
      </c>
      <c r="D35" s="19">
        <v>1</v>
      </c>
      <c r="E35" s="19">
        <v>180000</v>
      </c>
      <c r="F35" s="19">
        <f>Table2[[#This Row],[Actual_Sale_Price]]*Table2[[#This Row],[Sold_Quantity]]</f>
        <v>180000</v>
      </c>
      <c r="G35" s="19">
        <v>2</v>
      </c>
      <c r="H35" s="1" t="str">
        <f>IF(Table2[[#This Row],[Sold_Quantity]]&gt;=Table2[[#This Row],[Monthly_Sales_Target]], "هدف", "غیر هدف")</f>
        <v>غیر هدف</v>
      </c>
      <c r="I35" s="19">
        <f>(Table2[[#This Row],[Actual_Sale_Price]] - Table2[[#This Row],[Total_Unit_Cost]]) * Table2[[#This Row],[Sold_Quantity]]</f>
        <v>35000</v>
      </c>
      <c r="J35" s="19">
        <f>IFERROR(INDEX(Table1[Total_Purchase_Unit_Price], MATCH(Table2[[#This Row],[Product_Name]], Table1[Product_Name], 0)), 0)</f>
        <v>145000</v>
      </c>
      <c r="K35" s="8">
        <f>IFERROR((Table2[[#This Row],[Actual_Sale_Price]] - Table2[[#This Row],[Total_Unit_Cost]]) / Table2[[#This Row],[Total_Unit_Cost]], 0)</f>
        <v>0.2413793103448276</v>
      </c>
      <c r="L35" s="2"/>
    </row>
    <row r="36" spans="1:12" x14ac:dyDescent="0.25">
      <c r="A36" s="18" t="s">
        <v>26</v>
      </c>
      <c r="B36" s="18" t="s">
        <v>34</v>
      </c>
      <c r="C36" s="18">
        <v>6</v>
      </c>
      <c r="D36" s="19">
        <v>4</v>
      </c>
      <c r="E36" s="19">
        <v>170000</v>
      </c>
      <c r="F36" s="19">
        <f>Table2[[#This Row],[Actual_Sale_Price]]*Table2[[#This Row],[Sold_Quantity]]</f>
        <v>680000</v>
      </c>
      <c r="G36" s="19">
        <v>2</v>
      </c>
      <c r="H36" s="1" t="str">
        <f>IF(Table2[[#This Row],[Sold_Quantity]]&gt;=Table2[[#This Row],[Monthly_Sales_Target]], "هدف", "غیر هدف")</f>
        <v>هدف</v>
      </c>
      <c r="I36" s="19">
        <f>(Table2[[#This Row],[Actual_Sale_Price]] - Table2[[#This Row],[Total_Unit_Cost]]) * Table2[[#This Row],[Sold_Quantity]]</f>
        <v>100000</v>
      </c>
      <c r="J36" s="19">
        <f>IFERROR(INDEX(Table1[Total_Purchase_Unit_Price], MATCH(Table2[[#This Row],[Product_Name]], Table1[Product_Name], 0)), 0)</f>
        <v>145000</v>
      </c>
      <c r="K36" s="8">
        <f>IFERROR((Table2[[#This Row],[Actual_Sale_Price]] - Table2[[#This Row],[Total_Unit_Cost]]) / Table2[[#This Row],[Total_Unit_Cost]], 0)</f>
        <v>0.17241379310344829</v>
      </c>
      <c r="L36" s="2"/>
    </row>
    <row r="37" spans="1:12" x14ac:dyDescent="0.25">
      <c r="A37" s="18" t="s">
        <v>26</v>
      </c>
      <c r="B37" s="18" t="s">
        <v>35</v>
      </c>
      <c r="C37" s="18">
        <v>7</v>
      </c>
      <c r="D37" s="19">
        <v>1</v>
      </c>
      <c r="E37" s="19">
        <v>180000</v>
      </c>
      <c r="F37" s="19">
        <f>Table2[[#This Row],[Actual_Sale_Price]]*Table2[[#This Row],[Sold_Quantity]]</f>
        <v>180000</v>
      </c>
      <c r="G37" s="19">
        <v>0</v>
      </c>
      <c r="H37" s="1" t="str">
        <f>IF(Table2[[#This Row],[Sold_Quantity]]&gt;=Table2[[#This Row],[Monthly_Sales_Target]], "هدف", "غیر هدف")</f>
        <v>هدف</v>
      </c>
      <c r="I37" s="19">
        <f>(Table2[[#This Row],[Actual_Sale_Price]] - Table2[[#This Row],[Total_Unit_Cost]]) * Table2[[#This Row],[Sold_Quantity]]</f>
        <v>35000</v>
      </c>
      <c r="J37" s="19">
        <f>IFERROR(INDEX(Table1[Total_Purchase_Unit_Price], MATCH(Table2[[#This Row],[Product_Name]], Table1[Product_Name], 0)), 0)</f>
        <v>145000</v>
      </c>
      <c r="K37" s="8">
        <f>IFERROR((Table2[[#This Row],[Actual_Sale_Price]] - Table2[[#This Row],[Total_Unit_Cost]]) / Table2[[#This Row],[Total_Unit_Cost]], 0)</f>
        <v>0.2413793103448276</v>
      </c>
      <c r="L37" s="2"/>
    </row>
    <row r="39" spans="1:12" ht="30" x14ac:dyDescent="0.25">
      <c r="J39" s="19" t="s">
        <v>43</v>
      </c>
      <c r="K39" s="12">
        <f>AVERAGEIF(A:A, "گپ",K:K )</f>
        <v>0.60518292682926833</v>
      </c>
    </row>
  </sheetData>
  <conditionalFormatting sqref="H1:H1048576">
    <cfRule type="cellIs" dxfId="52" priority="1" operator="equal">
      <formula>"هدف"</formula>
    </cfRule>
    <cfRule type="cellIs" dxfId="51" priority="2" operator="equal">
      <formula>"غیر هدف"</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15"/>
  <sheetViews>
    <sheetView showGridLines="0" rightToLeft="1" topLeftCell="A9" workbookViewId="0">
      <selection activeCell="B13" sqref="B13"/>
    </sheetView>
  </sheetViews>
  <sheetFormatPr defaultRowHeight="15" x14ac:dyDescent="0.25"/>
  <cols>
    <col min="1" max="1" width="24.28515625" style="16" customWidth="1"/>
    <col min="2" max="2" width="138.5703125" style="15" customWidth="1"/>
  </cols>
  <sheetData>
    <row r="1" spans="1:2" x14ac:dyDescent="0.25">
      <c r="A1" s="14" t="s">
        <v>64</v>
      </c>
      <c r="B1" s="14" t="s">
        <v>65</v>
      </c>
    </row>
    <row r="2" spans="1:2" x14ac:dyDescent="0.25">
      <c r="A2" s="16" t="s">
        <v>39</v>
      </c>
      <c r="B2" s="15" t="s">
        <v>98</v>
      </c>
    </row>
    <row r="3" spans="1:2" x14ac:dyDescent="0.25">
      <c r="A3" s="16" t="s">
        <v>80</v>
      </c>
      <c r="B3" s="15" t="s">
        <v>42</v>
      </c>
    </row>
    <row r="4" spans="1:2" x14ac:dyDescent="0.25">
      <c r="A4" s="16" t="s">
        <v>100</v>
      </c>
      <c r="B4" s="16" t="s">
        <v>101</v>
      </c>
    </row>
    <row r="5" spans="1:2" ht="30" x14ac:dyDescent="0.25">
      <c r="A5" s="16" t="s">
        <v>40</v>
      </c>
      <c r="B5" s="15" t="s">
        <v>99</v>
      </c>
    </row>
    <row r="6" spans="1:2" ht="75" x14ac:dyDescent="0.25">
      <c r="A6" s="16" t="s">
        <v>41</v>
      </c>
      <c r="B6" s="17" t="s">
        <v>82</v>
      </c>
    </row>
    <row r="7" spans="1:2" ht="105" x14ac:dyDescent="0.25">
      <c r="A7" s="16" t="s">
        <v>91</v>
      </c>
      <c r="B7" s="15" t="s">
        <v>102</v>
      </c>
    </row>
    <row r="8" spans="1:2" ht="210" x14ac:dyDescent="0.25">
      <c r="A8" t="s">
        <v>92</v>
      </c>
      <c r="B8" s="15" t="s">
        <v>97</v>
      </c>
    </row>
    <row r="9" spans="1:2" ht="180" x14ac:dyDescent="0.25">
      <c r="A9" t="s">
        <v>93</v>
      </c>
      <c r="B9" s="15" t="s">
        <v>94</v>
      </c>
    </row>
    <row r="10" spans="1:2" ht="90" x14ac:dyDescent="0.25">
      <c r="A10" s="16" t="s">
        <v>95</v>
      </c>
      <c r="B10" s="21" t="s">
        <v>96</v>
      </c>
    </row>
    <row r="11" spans="1:2" ht="30" x14ac:dyDescent="0.25">
      <c r="A11" s="16" t="s">
        <v>87</v>
      </c>
      <c r="B11" s="15" t="s">
        <v>88</v>
      </c>
    </row>
    <row r="12" spans="1:2" ht="60" x14ac:dyDescent="0.25">
      <c r="A12" s="16" t="s">
        <v>85</v>
      </c>
      <c r="B12" s="15" t="s">
        <v>86</v>
      </c>
    </row>
    <row r="13" spans="1:2" x14ac:dyDescent="0.25">
      <c r="A13" s="16" t="s">
        <v>103</v>
      </c>
      <c r="B13" s="22" t="s">
        <v>104</v>
      </c>
    </row>
    <row r="14" spans="1:2" x14ac:dyDescent="0.25">
      <c r="B14" s="21"/>
    </row>
    <row r="15" spans="1:2" x14ac:dyDescent="0.25">
      <c r="B15"/>
    </row>
  </sheetData>
  <hyperlinks>
    <hyperlink ref="B13" r:id="rId1" xr:uid="{CDEA28AA-3C8C-4FC6-B8C4-A28FD140D643}"/>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15DA5A-EEEA-488C-B189-BABE1ABA81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main</vt:lpstr>
      <vt:lpstr>Sales_Dashboard</vt:lpstr>
      <vt:lpstr>Sales_data</vt:lpstr>
      <vt:lpstr>Readme</vt:lpstr>
    </vt:vector>
  </TitlesOfParts>
  <Company>Moorche 30 DVDs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MRT www.Win2Farsi.com</dc:creator>
  <cp:lastModifiedBy>MRT www.Win2Farsi.com</cp:lastModifiedBy>
  <dcterms:created xsi:type="dcterms:W3CDTF">2025-10-09T16:27:02Z</dcterms:created>
  <dcterms:modified xsi:type="dcterms:W3CDTF">2026-02-15T08:46:38Z</dcterms:modified>
</cp:coreProperties>
</file>